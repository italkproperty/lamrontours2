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1.Consumer Analysis" sheetId="2" r:id="rId5"/>
    <sheet state="visible" name="2. Market Analysis" sheetId="3" r:id="rId6"/>
    <sheet state="visible" name="3. Competition vs Lamron" sheetId="4" r:id="rId7"/>
    <sheet state="visible" name="4. Distribution channels review" sheetId="5" r:id="rId8"/>
    <sheet state="visible" name="Tour 1 Reconciliation" sheetId="6" r:id="rId9"/>
  </sheets>
  <definedNames/>
  <calcPr/>
  <extLst>
    <ext uri="GoogleSheetsCustomDataVersion2">
      <go:sheetsCustomData xmlns:go="http://customooxmlschemas.google.com/" r:id="rId10" roundtripDataChecksum="NCopte4a38JJNQz41eMLBY9IIg26Uju40pNoK/opFEI="/>
    </ext>
  </extLst>
</workbook>
</file>

<file path=xl/sharedStrings.xml><?xml version="1.0" encoding="utf-8"?>
<sst xmlns="http://schemas.openxmlformats.org/spreadsheetml/2006/main" count="521" uniqueCount="474">
  <si>
    <t>LAMRON TOURS AND SAFARIS</t>
  </si>
  <si>
    <t xml:space="preserve">MARKETING </t>
  </si>
  <si>
    <t>Steps</t>
  </si>
  <si>
    <t>Consumer Analysis</t>
  </si>
  <si>
    <t>Market Analysis</t>
  </si>
  <si>
    <t>Competion vs Us</t>
  </si>
  <si>
    <t>Distribution Channels</t>
  </si>
  <si>
    <t>Preliminary Market Mix</t>
  </si>
  <si>
    <t>Economics Evaluation</t>
  </si>
  <si>
    <t>Revision of 1-6</t>
  </si>
  <si>
    <t>WHAT IS THE NEED CATEGORY? WHO NEEDS US AND WHY?</t>
  </si>
  <si>
    <t>Need/Use Category</t>
  </si>
  <si>
    <t>Description</t>
  </si>
  <si>
    <t>Travel Convenience</t>
  </si>
  <si>
    <t>Provides structured, all-inclusive travel packages, simplifying planning for international and domestic tourists.</t>
  </si>
  <si>
    <t>Local Expertise</t>
  </si>
  <si>
    <t>Offers guided experiences with knowledgeable local guides who provide cultural, historical, and wildlife insights.</t>
  </si>
  <si>
    <t>Safety &amp; Comfort</t>
  </si>
  <si>
    <t>Ensures safer travel logistics, vetted accommodation, and secure transportation for foreign tourists unfamiliar with Namibia.</t>
  </si>
  <si>
    <t>Access to Hidden Gems</t>
  </si>
  <si>
    <t>Enables exploration of less-commercialized destinations like Kaokoland, Zambezi, or Khaudum National Park, which DIY travelers might miss.</t>
  </si>
  <si>
    <t>Time Efficiency</t>
  </si>
  <si>
    <t>Helps maximize visitor experience with optimized itineraries and professional scheduling.</t>
  </si>
  <si>
    <t>Cultural Immersion</t>
  </si>
  <si>
    <t>Offers authentic cultural experiences such as visits to Himba villages, San communities, and local culinary encounters.</t>
  </si>
  <si>
    <t>Employment Creation</t>
  </si>
  <si>
    <t>Creates job opportunities for local tour guides, drivers, admin staff, and accommodation providers.</t>
  </si>
  <si>
    <t>Eco &amp; Sustainable Travel</t>
  </si>
  <si>
    <t>Promotes responsible tourism through conservation-focused packages and partnerships with eco-lodges or wildlife reserves.</t>
  </si>
  <si>
    <t>Language &amp; Logistics Bridge</t>
  </si>
  <si>
    <t>Bridges language barriers and local travel complexities for non-Oshiwambo/English/Afrikaans-speaking guests.</t>
  </si>
  <si>
    <t>Customizable Experiences</t>
  </si>
  <si>
    <t>Caters to various travel styles (luxury, backpacking, family-friendly, educational, etc.) through tailor-made tour options.</t>
  </si>
  <si>
    <t>Luxury</t>
  </si>
  <si>
    <t>Backpacking</t>
  </si>
  <si>
    <t xml:space="preserve">Family Friendly </t>
  </si>
  <si>
    <t>Eductational</t>
  </si>
  <si>
    <t>Vehicle &amp; Permit Access</t>
  </si>
  <si>
    <t>Provides 4x4 vehicles and required permits for remote national parks where self-drives are risky or restricted.</t>
  </si>
  <si>
    <t>Package</t>
  </si>
  <si>
    <t>Multi-Destination Access</t>
  </si>
  <si>
    <t>Allows tourists to visit several regions across Namibia (Etosha, Sossusvlei, Swakopmund, Fish River, etc.) within a single trip.</t>
  </si>
  <si>
    <t>Boost to Local Economy</t>
  </si>
  <si>
    <t>Supports SMEs in rural tourism-dependent regions by channeling visitor traffic and spending.</t>
  </si>
  <si>
    <t>Peace of Mind</t>
  </si>
  <si>
    <t>Reduces stress for tourists unfamiliar with terrain, laws, or risks like wildlife, harsh climate, or road conditions.</t>
  </si>
  <si>
    <t>Repeat Visits &amp; Referrals</t>
  </si>
  <si>
    <t>Increases satisfaction rates, encouraging word-of-mouth marketing and return tourism to Namibia.</t>
  </si>
  <si>
    <t>WHO IS BUYING US ? WHO IS USING THE PRODUCT?</t>
  </si>
  <si>
    <t>Buyers and Users of Tours</t>
  </si>
  <si>
    <t>Buying Process</t>
  </si>
  <si>
    <t>Low Involment Product</t>
  </si>
  <si>
    <t>Segementing market</t>
  </si>
  <si>
    <t>Thought of touring Namibia</t>
  </si>
  <si>
    <t>Buyer/User Type</t>
  </si>
  <si>
    <t>Primary Motivation</t>
  </si>
  <si>
    <t>Purchasing Power</t>
  </si>
  <si>
    <t>Booking Channel</t>
  </si>
  <si>
    <t>See ad/google</t>
  </si>
  <si>
    <t>International Tourists (Leisure)</t>
  </si>
  <si>
    <t>Visitors from Europe, USA, China, etc., seeking safari and desert adventures</t>
  </si>
  <si>
    <t>Wildlife, landscape, bucket-list experiences</t>
  </si>
  <si>
    <t>High</t>
  </si>
  <si>
    <t>Online (Website, Travel Agencies, Instagram, Booking Platforms)</t>
  </si>
  <si>
    <t>Choose a service provider</t>
  </si>
  <si>
    <t>Domestic Tourists (Middle Class Namibians)</t>
  </si>
  <si>
    <t>Namibians seeking local holidays or family getaways</t>
  </si>
  <si>
    <t>Relaxation, discovery of own country</t>
  </si>
  <si>
    <t>Moderate</t>
  </si>
  <si>
    <t>Direct contact, WhatsApp, Facebook</t>
  </si>
  <si>
    <t>Price comparision/experience comparison</t>
  </si>
  <si>
    <t>Regional Tourists (SADC countries)</t>
  </si>
  <si>
    <t>Visitors from South Africa, Botswana, Zambia, etc.</t>
  </si>
  <si>
    <t>Cross-border travel, affordability, adventure</t>
  </si>
  <si>
    <t>Moderate to High</t>
  </si>
  <si>
    <t>Online, referrals, tour networks</t>
  </si>
  <si>
    <t>Booking/payment via website</t>
  </si>
  <si>
    <t>Corporate Clients</t>
  </si>
  <si>
    <t>Companies booking team-building trips, incentive travel, or executive retreats</t>
  </si>
  <si>
    <t>Reward staff, networking, business-leisure mix</t>
  </si>
  <si>
    <t>Email proposals, B2B outreach</t>
  </si>
  <si>
    <t>Government &amp; NGOs</t>
  </si>
  <si>
    <t>Booking for delegates, field visits, or official trips</t>
  </si>
  <si>
    <t>Convenient travel for work-related duties</t>
  </si>
  <si>
    <t>Procurement or Tender</t>
  </si>
  <si>
    <t>Schools &amp; Universities</t>
  </si>
  <si>
    <t>Educational field trips, nature experiences, cultural exposure</t>
  </si>
  <si>
    <t>Learning-based experiences</t>
  </si>
  <si>
    <t>Low to Moderate</t>
  </si>
  <si>
    <t>Direct contact, email</t>
  </si>
  <si>
    <t>Luxury Travelers (High Net Worth Individuals)</t>
  </si>
  <si>
    <t>Affluent travelers looking for exclusive and private safari experiences</t>
  </si>
  <si>
    <t>Premium service, privacy, unique experiences</t>
  </si>
  <si>
    <t>Very High</t>
  </si>
  <si>
    <t>Travel agents, luxury platforms, referrals</t>
  </si>
  <si>
    <t>Backpackers &amp; Budget Travelers</t>
  </si>
  <si>
    <t>Young or solo travelers exploring Africa on a budget</t>
  </si>
  <si>
    <t>Adventure, affordability, connection</t>
  </si>
  <si>
    <t>Low</t>
  </si>
  <si>
    <t>Hostel networks, Instagram, overland travel sites</t>
  </si>
  <si>
    <t>Diaspora Namibians</t>
  </si>
  <si>
    <t>Namibians living abroad returning home for visits</t>
  </si>
  <si>
    <t>Convenience, safety, nostalgia trips</t>
  </si>
  <si>
    <t>Direct contact, family referrals, Facebook</t>
  </si>
  <si>
    <t>Tour Operators &amp; Travel Agents</t>
  </si>
  <si>
    <t>Partnering with local DMCs (like Lamron) to fulfill client itineraries</t>
  </si>
  <si>
    <t>Need local logistics and guiding support</t>
  </si>
  <si>
    <t>High (B2B)</t>
  </si>
  <si>
    <t>Partnership contracts, travel expos</t>
  </si>
  <si>
    <t>WHAT IS THE BUYING PROCESS?</t>
  </si>
  <si>
    <t>Stage</t>
  </si>
  <si>
    <t>Customer Actions</t>
  </si>
  <si>
    <t>Channels Involved</t>
  </si>
  <si>
    <t>Lamron’s Role</t>
  </si>
  <si>
    <t>Awareness</t>
  </si>
  <si>
    <t>Customer becomes aware of Namibia or Lamron Tours as a potential travel option</t>
  </si>
  <si>
    <t>Sees Instagram ad, travel blog, Google search result, or word-of-mouth</t>
  </si>
  <si>
    <t>Instagram, Google, Travel Sites, YouTube, Influencers</t>
  </si>
  <si>
    <t>Create content (photos, reels, blogs), run ads, partner with influencers, attend travel expos</t>
  </si>
  <si>
    <t>Information Search</t>
  </si>
  <si>
    <t>Customer actively looks for more details on Namibia or specific tours</t>
  </si>
  <si>
    <t>Searches for "Namibia Safari Packages", reads reviews, browses your site, contacts you directly</t>
  </si>
  <si>
    <t>Website, WhatsApp, Google Reviews, Instagram, TripAdvisor</t>
  </si>
  <si>
    <t>Provide clear, attractive, well-organized info; respond promptly to inquiries; offer digital brochures and videos</t>
  </si>
  <si>
    <t>Evaluate Alternatives</t>
  </si>
  <si>
    <t>Customer compares your offering with other operators based on price, reviews, flexibility, activities</t>
  </si>
  <si>
    <t>Compares other companies, packages, cancellation terms, service level</t>
  </si>
  <si>
    <t>Competitor websites, Booking.com, TripAdvisor, Google</t>
  </si>
  <si>
    <t>Offer differentiators (e.g., better customer care, flexible policies, unique routes); highlight testimonials; offer package comparisons</t>
  </si>
  <si>
    <t>Purchase</t>
  </si>
  <si>
    <t>Customer commits by booking a package and paying the deposit</t>
  </si>
  <si>
    <t>Books through site, WhatsApp, or invoice; pays via EFT or card</t>
  </si>
  <si>
    <t>Payment Gateway, WhatsApp, Email</t>
  </si>
  <si>
    <t>Invoicing, secure payment, offer booking confirmation and pre-arrival checklist</t>
  </si>
  <si>
    <t>Post-Purchase Evaluation</t>
  </si>
  <si>
    <t>Customer reflects on experience after the tour; may share feedback or reviews</t>
  </si>
  <si>
    <t>Writes review, posts pictures, shares experience with friends</t>
  </si>
  <si>
    <t>TripAdvisor, Google Reviews, Instagram, WhatsApp</t>
  </si>
  <si>
    <t>Request feedback, respond to reviews, offer referral discount or loyalty program, fix any issues fast</t>
  </si>
  <si>
    <t>Is the product a high or low involvement product?</t>
  </si>
  <si>
    <t>Factor</t>
  </si>
  <si>
    <t>Lamron Tours and Safaris Assessment</t>
  </si>
  <si>
    <t>Conclusion</t>
  </si>
  <si>
    <t>Price Level</t>
  </si>
  <si>
    <t>Tourism packages (especially multi-day safaris) are relatively expensive</t>
  </si>
  <si>
    <t>High price compared to everyday purchases</t>
  </si>
  <si>
    <t>High Involvement</t>
  </si>
  <si>
    <t>Product Benefit</t>
  </si>
  <si>
    <t>Customers expect comfort, safety, expert guidance, and memorable experiences</t>
  </si>
  <si>
    <t>Reliability and delivery of promised experience are crucial</t>
  </si>
  <si>
    <t>Psychological Reward</t>
  </si>
  <si>
    <t>Tourism is tied to self-image, adventure, relaxation, and social sharing (Instagram, stories)</t>
  </si>
  <si>
    <t>Customers seek joy, fulfillment, and social bragging rights</t>
  </si>
  <si>
    <t>Emotional Attachment</t>
  </si>
  <si>
    <t>Travel experiences are emotional and personal, not routine or transactional</t>
  </si>
  <si>
    <t>Customers attach emotional value to travel memories</t>
  </si>
  <si>
    <t>Purchase Frequency</t>
  </si>
  <si>
    <t>Most customers book safaris only once per year or lifetime (for internationals)</t>
  </si>
  <si>
    <t>Low frequency heightens careful decision-making</t>
  </si>
  <si>
    <t>Risk Level</t>
  </si>
  <si>
    <t>Potential for disappointment, safety risks, or wasted money if poorly executed</t>
  </si>
  <si>
    <t>Perceived risk is high if credibility is not strong</t>
  </si>
  <si>
    <t>Time Required for Decision</t>
  </si>
  <si>
    <t>Customers often take weeks to plan and commit</t>
  </si>
  <si>
    <t>Extended decision period due to complexity and cost</t>
  </si>
  <si>
    <t>Customers actively reflect, review, and share the experience</t>
  </si>
  <si>
    <t>Public review culture makes performance critical</t>
  </si>
  <si>
    <t>Overall Assessment</t>
  </si>
  <si>
    <t>--</t>
  </si>
  <si>
    <t>HIGH INVOLVEMENT PRODUCT</t>
  </si>
  <si>
    <t>segmentation</t>
  </si>
  <si>
    <t>Segmentation Type</t>
  </si>
  <si>
    <t>Segment Details</t>
  </si>
  <si>
    <t>How Lamron Will Target</t>
  </si>
  <si>
    <t>Geographic</t>
  </si>
  <si>
    <t>• International (Europe, USA, China, SADC region) • Domestic (Namibia: Windhoek, Swakopmund, Northern regions)</t>
  </si>
  <si>
    <t>Create multilingual materials, attend travel expos, optimize SEO by country, run regional ad campaigns</t>
  </si>
  <si>
    <t>Demographic</t>
  </si>
  <si>
    <t>• Age: 25–45 (adventurous couples, solo travelers) • Income: Middle to high income • Occupation: Working professionals, entrepreneurs, retirees</t>
  </si>
  <si>
    <t>Curate packages based on life stage (e.g., romantic getaways, family safaris, executive retreats); adjust pricing/tiered offers</t>
  </si>
  <si>
    <t>Psychographic</t>
  </si>
  <si>
    <t>• Lifestyle: Nature lovers, luxury seekers, cultural explorers • Values: Conservation, authenticity, exclusivity</t>
  </si>
  <si>
    <t>Tailor experiences (e.g., eco-luxury lodges, cultural village tours), content marketing that appeals to specific values (Instagram storytelling, blog features)</t>
  </si>
  <si>
    <t>Behavioral</t>
  </si>
  <si>
    <t>• Booking habits: Early planners vs last-minute bookers • Loyalty: Repeat visitors or referrals • Occasion: Honeymoon, anniversary, bucket-list trip</t>
  </si>
  <si>
    <t>Offer early-bird discounts, referral rewards, personalized follow-up, occasion-based packages (e.g., “Namibian Honeymoon Escape”)</t>
  </si>
  <si>
    <t>Namibia's Tourism Industry Overview</t>
  </si>
  <si>
    <t>Category</t>
  </si>
  <si>
    <t>Insight for Lamron</t>
  </si>
  <si>
    <t>Germany, USA, South Africa, France, UK, Netherlands</t>
  </si>
  <si>
    <t>Focus marketing on these countries via SEO, multilingual content, and targeted ads</t>
  </si>
  <si>
    <t>Etosha, Sossusvlei, Swakopmund, Skeleton Coast, Himba culture, wildlife safaris</t>
  </si>
  <si>
    <t>Lamron should offer custom tours that highlight these destinations</t>
  </si>
  <si>
    <t>High season: June–October (dry season, best wildlife); Low season: January–March</t>
  </si>
  <si>
    <t>Plan pricing and marketing cycles accordingly — offer discounts in off-peak months</t>
  </si>
  <si>
    <t>Growing demand for eco-friendly, private, cultural, and photographic tours</t>
  </si>
  <si>
    <t>Lamron can stand out by emphasizing conservation, local immersion, and flexible packages</t>
  </si>
  <si>
    <t>Post-COVID arrivals are rebounding strongly due to Namibia’s wide-open spaces and safety perception</t>
  </si>
  <si>
    <t>High opportunity window for new entrants like Lamron with fresh branding and high responsiveness</t>
  </si>
  <si>
    <t>Short-term rentals and boutique lodges in rural areas are in demand</t>
  </si>
  <si>
    <t>Lamron can partner with or offer its own short-stay options (Airbnb-style or exclusive lodges)</t>
  </si>
  <si>
    <t>Good roads, Wi-Fi in major towns, strong tourism routes; but some remote areas need guided transport</t>
  </si>
  <si>
    <t>You can offer transport-inclusive packages and market safety for solo/international travelers</t>
  </si>
  <si>
    <t>Target Market Analysis</t>
  </si>
  <si>
    <t>Segment Name</t>
  </si>
  <si>
    <t>Demographics</t>
  </si>
  <si>
    <t>Psychographics</t>
  </si>
  <si>
    <t>Motivations</t>
  </si>
  <si>
    <t>Lamron's Positioning</t>
  </si>
  <si>
    <t>International Adventurers</t>
  </si>
  <si>
    <t>Age 30–55; from Germany, USA, France, Netherlands; mid to high income</t>
  </si>
  <si>
    <t>Eco-conscious, cultural explorers, wildlife lovers</t>
  </si>
  <si>
    <t>Want authentic, safe, and immersive experiences in Africa</t>
  </si>
  <si>
    <t>Offer high-quality, customizable safari packages that emphasize local culture, wildlife, and eco-sustainability</t>
  </si>
  <si>
    <t>Luxury Safari Seekers</t>
  </si>
  <si>
    <t>Age 35–65; HNWIs from UK, UAE, Europe; high income</t>
  </si>
  <si>
    <t>Seek status, exclusivity, privacy</t>
  </si>
  <si>
    <t>Looking for luxury lodges, fine dining, private game drives</t>
  </si>
  <si>
    <t>Position Lamron as a boutique, private-guided experience provider with premium add-ons</t>
  </si>
  <si>
    <t>Local Namibian Families</t>
  </si>
  <si>
    <t>Age 30–50; middle class; live in Windhoek, Walvis Bay, Ongwediva</t>
  </si>
  <si>
    <t>Value affordability, family bonding, and local travel</t>
  </si>
  <si>
    <t>Want budget-friendly yet comfortable short trips</t>
  </si>
  <si>
    <t>Offer weekend packages, group rates, and easy payment options</t>
  </si>
  <si>
    <t>SADC Travelers</t>
  </si>
  <si>
    <t>Age 25–55; mostly South Africa, Botswana, Zambia; middle-income</t>
  </si>
  <si>
    <t>Adventure-driven, regional explorers</t>
  </si>
  <si>
    <t>Affordable cross-border travel experiences</t>
  </si>
  <si>
    <t>Offer roadtrip-friendly packages, border assistance, and WhatsApp-based booking</t>
  </si>
  <si>
    <t>Backpacking Millennials</t>
  </si>
  <si>
    <t>Age 22–35; solo or couples; global or regional travelers</t>
  </si>
  <si>
    <t>Low budget, high energy, cultural exchange</t>
  </si>
  <si>
    <t>Seeking budget safaris, group tours, social experiences</t>
  </si>
  <si>
    <t>Promote shared safaris, flexible itineraries, and youth discounts on Instagram</t>
  </si>
  <si>
    <t>Age 30–50; living abroad (UK, USA, Germany); middle to high income</t>
  </si>
  <si>
    <t>Emotionally connected to Namibia; want curated home visits</t>
  </si>
  <si>
    <t>Nostalgic travel with friends/family comfort</t>
  </si>
  <si>
    <t>Offer homecoming packages: city + rural combo, transport &amp; security</t>
  </si>
  <si>
    <t>Educational &amp; NGO Travelers</t>
  </si>
  <si>
    <t>Schools, researchers, NGOs; group travelers or field workers</t>
  </si>
  <si>
    <t>Professional but mission-driven travelers</t>
  </si>
  <si>
    <t>Educational tours, conservation visits, cultural immersion</t>
  </si>
  <si>
    <t>Offer logistical support, mission-aligned itineraries, letters for visa assistance</t>
  </si>
  <si>
    <t>Companies, ministries, large NGOs; based in Namibia or regionally</t>
  </si>
  <si>
    <t>Team-building, incentive trips, or visiting execs</t>
  </si>
  <si>
    <t>Efficient, comfortable, professional services</t>
  </si>
  <si>
    <t>Offer branded tours, customizable executive packages, invoicing options</t>
  </si>
  <si>
    <t>PRODUCT LIFE CYCLE STAGE</t>
  </si>
  <si>
    <t>Stage Indicator</t>
  </si>
  <si>
    <t>Strategic Implication</t>
  </si>
  <si>
    <t>Market Presence</t>
  </si>
  <si>
    <t>New brand entering the market</t>
  </si>
  <si>
    <t>Just launched or in early stages of client acquisition (e.g., website, social media, pitch deck)</t>
  </si>
  <si>
    <t>Requires aggressive awareness marketing and trust-building</t>
  </si>
  <si>
    <t>Customer Base</t>
  </si>
  <si>
    <t>Low or no current client base</t>
  </si>
  <si>
    <t>Still building traction with first-time users, little word-of-mouth</t>
  </si>
  <si>
    <t>Focus on converting early adopters and gathering testimonials</t>
  </si>
  <si>
    <t>Sales Volume</t>
  </si>
  <si>
    <t>Low and unstable</t>
  </si>
  <si>
    <t>Irregular bookings, mostly through outreach or referrals</t>
  </si>
  <si>
    <t>Prioritize customer service excellence and retention</t>
  </si>
  <si>
    <t>Costs</t>
  </si>
  <si>
    <t>High setup and marketing costs</t>
  </si>
  <si>
    <t>Spending on website, marketing, branding, permits, and vehicles</t>
  </si>
  <si>
    <t>Watch cash flow; avoid overextending until sales stabilize</t>
  </si>
  <si>
    <t>Brand Recognition</t>
  </si>
  <si>
    <t>Low or nonexistent</t>
  </si>
  <si>
    <t>Unknown to international and regional travelers</t>
  </si>
  <si>
    <t>Invest in branding (Instagram, Google SEO, travel expos)</t>
  </si>
  <si>
    <t>Profitability</t>
  </si>
  <si>
    <t>Not yet profitable or just breaking even</t>
  </si>
  <si>
    <t>Revenues may not yet cover fixed costs (staff, transport, accommodation deals)</t>
  </si>
  <si>
    <t>Pursue volume while maintaining margins on premium services</t>
  </si>
  <si>
    <t>Current stage</t>
  </si>
  <si>
    <t>Competition Response</t>
  </si>
  <si>
    <t>Competitors are unaware or unthreatened</t>
  </si>
  <si>
    <t>Larger, established tour companies dominate attention</t>
  </si>
  <si>
    <t>Use agility, niche packages, and responsiveness to stand out</t>
  </si>
  <si>
    <t>Product Development</t>
  </si>
  <si>
    <t>Evolving offering</t>
  </si>
  <si>
    <t>Still testing which packages work best, pricing models, customer feedback</t>
  </si>
  <si>
    <t>Keep iterating based on market signals and early feedback</t>
  </si>
  <si>
    <t>KEY COMPETITIVE FACTORS IN THE TOURISM INDUSTRY</t>
  </si>
  <si>
    <t>Industry Standard</t>
  </si>
  <si>
    <t>Lamron’s Opportunity or Threat</t>
  </si>
  <si>
    <t>Strategic Action</t>
  </si>
  <si>
    <r>
      <rPr>
        <rFont val="Aptos Narrow"/>
        <color theme="1"/>
        <sz val="11.0"/>
      </rPr>
      <t xml:space="preserve">To </t>
    </r>
    <r>
      <rPr>
        <rFont val="Aptos Narrow"/>
        <b/>
        <color theme="1"/>
        <sz val="11.0"/>
      </rPr>
      <t>compete effectively</t>
    </r>
    <r>
      <rPr>
        <rFont val="Aptos Narrow"/>
        <color theme="1"/>
        <sz val="11.0"/>
      </rPr>
      <t xml:space="preserve">, </t>
    </r>
    <r>
      <rPr>
        <rFont val="Aptos Narrow"/>
        <b/>
        <color theme="1"/>
        <sz val="11.0"/>
      </rPr>
      <t>Lamron Tours and Safaris</t>
    </r>
    <r>
      <rPr>
        <rFont val="Aptos Narrow"/>
        <color theme="1"/>
        <sz val="11.0"/>
      </rPr>
      <t xml:space="preserve"> should:</t>
    </r>
  </si>
  <si>
    <t>Quality</t>
  </si>
  <si>
    <t>Tour operators compete on well-maintained vehicles, knowledgeable guides, high-standard accommodations, and safety</t>
  </si>
  <si>
    <t>Emerging operators can struggle to match the polish of older brands</t>
  </si>
  <si>
    <t>Partner with high-quality lodges, train guides intensively, ensure vehicle reliability, and showcase this in your content</t>
  </si>
  <si>
    <t>Stand out on service and customization</t>
  </si>
  <si>
    <t>Price</t>
  </si>
  <si>
    <t>Mid-range operators dominate (N$10,000–N$35,000 per tour); luxury brands go higher; budget tours cut features</t>
  </si>
  <si>
    <t>Price-sensitive segments look for value, not just low prices</t>
  </si>
  <si>
    <t>Offer transparent pricing with tiered packages (budget, comfort, premium) and flexible payment terms</t>
  </si>
  <si>
    <t>Build trust through social proof and transparency</t>
  </si>
  <si>
    <t>Advertising</t>
  </si>
  <si>
    <t>Top players invest in SEO, Instagram, Google Ads, and international travel partnerships</t>
  </si>
  <si>
    <t>Smaller companies often under-invest or rely only on social media</t>
  </si>
  <si>
    <t>Focus on organic growth via social proof (testimonials, user-generated content), Instagram Reels, and Google Ads targeting foreign markets</t>
  </si>
  <si>
    <t>Offer smart pricing tiers to appeal to different budgets</t>
  </si>
  <si>
    <t>Research &amp; Development (R&amp;D)</t>
  </si>
  <si>
    <t>Limited industry-wide innovation; most packages are standard (Etosha–Sossusvlei–Swakop combo)</t>
  </si>
  <si>
    <t>Opportunity to stand out by offering unique routes, cultural immersion, or themed safaris (photography, wellness)</t>
  </si>
  <si>
    <t>Continuously test new tour types, guest experiences, and cross-sector collaborations (e.g., Airbnb stays, rural tourism)</t>
  </si>
  <si>
    <t>Invest in creative, authentic content marketing</t>
  </si>
  <si>
    <t>Customer Service</t>
  </si>
  <si>
    <t>Premium operators offer 24/7 support, airport pickups, concierge-style service; budget operators are inconsistent</t>
  </si>
  <si>
    <t>Many players lose customers due to poor communication or inflexibility</t>
  </si>
  <si>
    <t>Win customers with fast responses on WhatsApp, tailored planning, and proactive follow-ups pre- and post-trip</t>
  </si>
  <si>
    <t>Innovate with new safari angles — not just repeat what others do</t>
  </si>
  <si>
    <t>Lamron vs Competitors</t>
  </si>
  <si>
    <t>Lamron Tours and Safaris</t>
  </si>
  <si>
    <t>Top Competitors (e.g., Chameleon Safaris, Wild Dog Safaris, Secret Namibia)</t>
  </si>
  <si>
    <t>Strengths</t>
  </si>
  <si>
    <t xml:space="preserve">• Agile and flexible decision-making  </t>
  </si>
  <si>
    <t xml:space="preserve">• High website traffic  </t>
  </si>
  <si>
    <t xml:space="preserve">• Founder-led with strong entrepreneurial drive  </t>
  </si>
  <si>
    <t xml:space="preserve">• Established reputation  </t>
  </si>
  <si>
    <t xml:space="preserve">• Modern branding potential (clean aesthetic, social-first)  </t>
  </si>
  <si>
    <t xml:space="preserve">• International travel partnerships  </t>
  </si>
  <si>
    <t xml:space="preserve">• Local connections for custom add-ons  </t>
  </si>
  <si>
    <t xml:space="preserve">• Loyal customer base  </t>
  </si>
  <si>
    <t>• Ability to experiment with new offers</t>
  </si>
  <si>
    <t>• Greater fleet and staffing resources</t>
  </si>
  <si>
    <t>Weaknesses</t>
  </si>
  <si>
    <t xml:space="preserve">• Low brand awareness  </t>
  </si>
  <si>
    <t xml:space="preserve">• Slower to innovate or customize  </t>
  </si>
  <si>
    <t xml:space="preserve">• Limited capital &amp; transport fleet  </t>
  </si>
  <si>
    <t xml:space="preserve">• Rigid packages  </t>
  </si>
  <si>
    <t xml:space="preserve">• No international travel agency affiliations yet  </t>
  </si>
  <si>
    <t xml:space="preserve">• Higher overheads  </t>
  </si>
  <si>
    <t>• Still building testimonials and referrals</t>
  </si>
  <si>
    <t>• Can’t easily personalize or adapt to client whims</t>
  </si>
  <si>
    <t>Opportunities</t>
  </si>
  <si>
    <t xml:space="preserve">• Tap into emerging digital marketing (TikTok/IG Reels)  </t>
  </si>
  <si>
    <t xml:space="preserve">• Form niche offers (cultural, youth, influencer tours)  </t>
  </si>
  <si>
    <t xml:space="preserve">• Target the rising SADC middle class  </t>
  </si>
  <si>
    <t>• Collaborate with lodges, Airbnbs</t>
  </si>
  <si>
    <t xml:space="preserve">• Launch subscription-based travel clubs  </t>
  </si>
  <si>
    <t>• Deepen brand via loyalty programs</t>
  </si>
  <si>
    <r>
      <rPr>
        <rFont val="Aptos Narrow"/>
        <color theme="1"/>
      </rPr>
      <t xml:space="preserve">Develop 2–3 </t>
    </r>
    <r>
      <rPr>
        <rFont val="Aptos Narrow"/>
        <b/>
        <color theme="1"/>
        <sz val="11.0"/>
      </rPr>
      <t>hyper-unique packages</t>
    </r>
    <r>
      <rPr>
        <rFont val="Aptos Narrow"/>
        <color theme="1"/>
        <sz val="11.0"/>
      </rPr>
      <t xml:space="preserve"> not offered by big players (e.g., </t>
    </r>
    <r>
      <rPr>
        <rFont val="Aptos Narrow"/>
        <i/>
        <color theme="1"/>
        <sz val="11.0"/>
      </rPr>
      <t>Namibian Desert Star Safari</t>
    </r>
    <r>
      <rPr>
        <rFont val="Aptos Narrow"/>
        <color theme="1"/>
        <sz val="11.0"/>
      </rPr>
      <t xml:space="preserve">, </t>
    </r>
    <r>
      <rPr>
        <rFont val="Aptos Narrow"/>
        <i/>
        <color theme="1"/>
        <sz val="11.0"/>
      </rPr>
      <t>Local Feast Tour</t>
    </r>
    <r>
      <rPr>
        <rFont val="Aptos Narrow"/>
        <color theme="1"/>
        <sz val="11.0"/>
      </rPr>
      <t xml:space="preserve">, </t>
    </r>
    <r>
      <rPr>
        <rFont val="Aptos Narrow"/>
        <i/>
        <color theme="1"/>
        <sz val="11.0"/>
      </rPr>
      <t>Cultural Immersion Getaway</t>
    </r>
    <r>
      <rPr>
        <rFont val="Aptos Narrow"/>
        <color theme="1"/>
        <sz val="11.0"/>
      </rPr>
      <t>)</t>
    </r>
  </si>
  <si>
    <t>Threats</t>
  </si>
  <si>
    <t xml:space="preserve">• Cash burn during low season  </t>
  </si>
  <si>
    <t xml:space="preserve">• Disruption by smaller, more agile players  </t>
  </si>
  <si>
    <t xml:space="preserve">• Poaching of ideas/packages by larger players  </t>
  </si>
  <si>
    <t xml:space="preserve">• Bad reviews can sink a young brand  </t>
  </si>
  <si>
    <t>• Market saturation in Windhoek</t>
  </si>
  <si>
    <t xml:space="preserve">• Negative impact from bad tourism policies  </t>
  </si>
  <si>
    <t>• Fuel or cost shocks affecting pricing</t>
  </si>
  <si>
    <t>WHO IS LAMRON IN THE MARKETPLACE?</t>
  </si>
  <si>
    <t>Your Position</t>
  </si>
  <si>
    <t>Competitor Position</t>
  </si>
  <si>
    <t>Insight</t>
  </si>
  <si>
    <t>Market Size</t>
  </si>
  <si>
    <t>Small entry-level player, &lt;1% market share</t>
  </si>
  <si>
    <t>Larger players hold approx. 5–15% each of inbound safari market</t>
  </si>
  <si>
    <t>Namibia tourism has room for newcomers — especially in niche segments</t>
  </si>
  <si>
    <t>Financial Position</t>
  </si>
  <si>
    <t>Bootstrapped or light capital (lean startup)</t>
  </si>
  <si>
    <t>Well-funded, some with access to credit lines and repeat revenue</t>
  </si>
  <si>
    <t>Focus on cash flow management and asset-light partnerships (e.g., vehicle rentals, not ownership)</t>
  </si>
  <si>
    <t>Resources – Tech</t>
  </si>
  <si>
    <t>Simple Shopify website, IG-based outreach</t>
  </si>
  <si>
    <t>Custom-built booking platforms, CRM, automation tools</t>
  </si>
  <si>
    <t>Invest in scalable tools (booking plugins, email CRM, payment gateway)</t>
  </si>
  <si>
    <t>Resources – Sales Force</t>
  </si>
  <si>
    <t>Founder-led, hands-on selling via WhatsApp &amp; Instagram</t>
  </si>
  <si>
    <t>Dedicated teams for sales and reservations</t>
  </si>
  <si>
    <t>Your personal involvement = faster, warmer leads — leverage that before scaling</t>
  </si>
  <si>
    <t>Resources – Cash</t>
  </si>
  <si>
    <t>Limited cash reserves; likely relying on bookings to reinvest</t>
  </si>
  <si>
    <t>Have buffer for seasonal drops and campaign testing</t>
  </si>
  <si>
    <t>Use pre-booking deposits and payment plans to fund early operations</t>
  </si>
  <si>
    <t>Resources – Research</t>
  </si>
  <si>
    <t>Can move fast to test ideas and shift strategy</t>
  </si>
  <si>
    <t>Use historic data and brand legacy to optimize offers</t>
  </si>
  <si>
    <t>Learn from their reviews and gaps; test what they’re too slow to try</t>
  </si>
  <si>
    <t>Resources – Trade Relations</t>
  </si>
  <si>
    <t>Building B2B &amp; lodge partnerships (early stage)</t>
  </si>
  <si>
    <t>Long-standing relationships with tour agencies, lodges, and foreign partners</t>
  </si>
  <si>
    <t>Build credibility and negotiate collabs by offering your energy, tech, and niche appeal</t>
  </si>
  <si>
    <t>Barriers to Entry</t>
  </si>
  <si>
    <t>Moderate: Need licenses, guides, transport, insurance, digital presence</t>
  </si>
  <si>
    <t>They’ve already cleared those — plus benefit from referrals and existing reviews</t>
  </si>
  <si>
    <t>Use soft power: brand storytelling, founder personality, viral value to stand out</t>
  </si>
  <si>
    <t>Market Share Leverage</t>
  </si>
  <si>
    <t>None yet, but niche positioning can earn you outsized attention</t>
  </si>
  <si>
    <t>Established players dominate main routes and top listings on TripAdvisor</t>
  </si>
  <si>
    <t>Target alternative routes, short-stay combos, or unique cultural offerings</t>
  </si>
  <si>
    <t>Channel</t>
  </si>
  <si>
    <t>Type</t>
  </si>
  <si>
    <t>Margin Impact</t>
  </si>
  <si>
    <t>Who Holds the Power?</t>
  </si>
  <si>
    <t>Lamron's Strategy</t>
  </si>
  <si>
    <t>1. Direct Sales (D2C)</t>
  </si>
  <si>
    <t>Owned</t>
  </si>
  <si>
    <t>Customer books via Lamron’s website, WhatsApp, Instagram, or walk-in</t>
  </si>
  <si>
    <t>High (80%–100% of revenue retained)</t>
  </si>
  <si>
    <t>Lamron holds power — direct control of pricing, communication</t>
  </si>
  <si>
    <t>Focus on SEO, social media, WhatsApp automation, mobile-optimized website, online payment gateway</t>
  </si>
  <si>
    <t>2. Online Travel Agencies (OTAs)</t>
  </si>
  <si>
    <t>Partner</t>
  </si>
  <si>
    <t>Platforms like Booking.com, GetYourGuide, Viator, SafariBookings</t>
  </si>
  <si>
    <t>Medium (retain 70%–85% after 15–30% commission)</t>
  </si>
  <si>
    <t>OTA holds power (ranking, algorithm visibility, review system)</t>
  </si>
  <si>
    <t>List Lamron on select OTAs, optimize for high ratings and visuals, use as credibility builder, not main channel</t>
  </si>
  <si>
    <t>3. Local Travel Agencies</t>
  </si>
  <si>
    <t>B2B</t>
  </si>
  <si>
    <t>Independent Namibian agents or tour resellers</t>
  </si>
  <si>
    <t>Medium to low (retain 60%–75%)</t>
  </si>
  <si>
    <t>Agency holds power if they have larger client base or lodge tie-ins</t>
  </si>
  <si>
    <t>Offer commission-friendly rates, build strong B2B relationships, give them marketing kits and reliable service</t>
  </si>
  <si>
    <t>4. International Travel Agencies</t>
  </si>
  <si>
    <t>Foreign agencies that sell Namibian safari packages</t>
  </si>
  <si>
    <t>Lower (retain 50%–70%)</t>
  </si>
  <si>
    <t>International agent holds power due to foreign client flow and established reputation</t>
  </si>
  <si>
    <t>Form relationships with niche-focused agencies (photography, eco-travel), att</t>
  </si>
  <si>
    <t>Channel Type</t>
  </si>
  <si>
    <t>Priority Level</t>
  </si>
  <si>
    <t>Rationale</t>
  </si>
  <si>
    <t>Direct Sales (Website/WhatsApp/Instagram)</t>
  </si>
  <si>
    <t>⭐⭐⭐⭐</t>
  </si>
  <si>
    <t>Highest profit, most control, builds brand equity</t>
  </si>
  <si>
    <t>OTAs (Booking.com, Viator)</t>
  </si>
  <si>
    <t>⭐⭐⭐</t>
  </si>
  <si>
    <t>Credibility booster, good for inbound leads</t>
  </si>
  <si>
    <t>Local Agencies &amp; Lodges</t>
  </si>
  <si>
    <t>Expand reach inside Namibia &amp; SADC markets</t>
  </si>
  <si>
    <t>International Agents</t>
  </si>
  <si>
    <t>⭐⭐</t>
  </si>
  <si>
    <t>Good for volume, but less profit and control</t>
  </si>
  <si>
    <t>Influencers &amp; Affiliates</t>
  </si>
  <si>
    <t>Smart for low-cost viral growth and niche access</t>
  </si>
  <si>
    <t>Corporate &amp; NGO</t>
  </si>
  <si>
    <t>Steady cash flow and strong positioning if done well</t>
  </si>
  <si>
    <t>⚖️ POWER DYNAMICS – Who Controls What</t>
  </si>
  <si>
    <t>Player</t>
  </si>
  <si>
    <t>Control Area</t>
  </si>
  <si>
    <t>Risk</t>
  </si>
  <si>
    <t>Strategy</t>
  </si>
  <si>
    <t>OTA (e.g., Booking.com)</t>
  </si>
  <si>
    <t>Visibility &amp; reputation algorithm</t>
  </si>
  <si>
    <t>High commissions</t>
  </si>
  <si>
    <t>Limit reliance; treat as lead generator</t>
  </si>
  <si>
    <t>Lodge Partners</t>
  </si>
  <si>
    <t>Client access at destination</t>
  </si>
  <si>
    <t>Can prefer other operators</t>
  </si>
  <si>
    <t>Maintain strong service, offer incentive</t>
  </si>
  <si>
    <t>Foreign client access</t>
  </si>
  <si>
    <t>High volume, but control itinerary &amp; pricing</t>
  </si>
  <si>
    <t>Build exclusive packages or direct relationships</t>
  </si>
  <si>
    <t>Direct Channels (Lamron)</t>
  </si>
  <si>
    <t>Brand, pricing, communication</t>
  </si>
  <si>
    <t>Most control</t>
  </si>
  <si>
    <t>Invest heavily here long-term</t>
  </si>
  <si>
    <t xml:space="preserve">M&amp;M </t>
  </si>
  <si>
    <t>M&amp;M Bother</t>
  </si>
  <si>
    <t xml:space="preserve">Rate </t>
  </si>
  <si>
    <t>Days</t>
  </si>
  <si>
    <t>Total</t>
  </si>
  <si>
    <t>Guide</t>
  </si>
  <si>
    <t>Car</t>
  </si>
  <si>
    <t>Fuel</t>
  </si>
  <si>
    <t>Meals</t>
  </si>
  <si>
    <t>Accomodation</t>
  </si>
  <si>
    <t xml:space="preserve">Upfront costs </t>
  </si>
  <si>
    <t>Car deposit</t>
  </si>
  <si>
    <t>50% Guide</t>
  </si>
  <si>
    <t>50% Car hire</t>
  </si>
  <si>
    <t>Upfront Deposit</t>
  </si>
  <si>
    <t>Operating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</si>
</sst>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$&quot;* #,##0.00_);_(&quot;$&quot;* \(#,##0.00\);_(&quot;$&quot;* &quot;-&quot;??_);_(@_)"/>
    <numFmt numFmtId="165" formatCode="_(* #,##0_);_(* \(#,##0\);_(* &quot;-&quot;??_);_(@_)"/>
    <numFmt numFmtId="166" formatCode="_(* #,##0.00_);_(* \(#,##0.00\);_(* &quot;-&quot;??_);_(@_)"/>
  </numFmts>
  <fonts count="30">
    <font>
      <sz val="11.0"/>
      <color theme="1"/>
      <name val="Aptos Narrow"/>
      <scheme val="minor"/>
    </font>
    <font>
      <sz val="20.0"/>
      <color theme="1"/>
      <name val="Aptos Narrow"/>
    </font>
    <font>
      <sz val="11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  <font>
      <u/>
      <sz val="11.0"/>
      <color theme="10"/>
      <name val="Aptos Narrow"/>
    </font>
    <font>
      <b/>
      <sz val="11.0"/>
      <color theme="1"/>
      <name val="Aptos Narrow"/>
    </font>
    <font>
      <b/>
      <sz val="16.0"/>
      <color theme="1"/>
      <name val="Aptos Narrow"/>
    </font>
    <font>
      <sz val="12.0"/>
      <color theme="1"/>
      <name val="Aptos Narrow"/>
    </font>
    <font>
      <u/>
      <sz val="11.0"/>
      <color theme="1"/>
      <name val="Aptos Narrow"/>
    </font>
    <font>
      <b/>
      <u/>
      <sz val="11.0"/>
      <color theme="1"/>
      <name val="Aptos Narrow"/>
    </font>
    <font>
      <b/>
      <u/>
      <sz val="14.0"/>
      <color theme="1"/>
      <name val="Aptos Narrow"/>
    </font>
    <font>
      <sz val="14.0"/>
      <color theme="1"/>
      <name val="Aptos Narrow"/>
    </font>
    <font>
      <b/>
      <sz val="14.0"/>
      <color theme="1"/>
      <name val="Aptos Narrow"/>
    </font>
    <font>
      <b/>
      <u/>
      <sz val="16.0"/>
      <color theme="1"/>
      <name val="Aptos Narrow"/>
    </font>
    <font>
      <u/>
      <sz val="16.0"/>
      <color theme="1"/>
      <name val="Aptos Narrow"/>
    </font>
    <font>
      <u/>
      <sz val="16.0"/>
      <color theme="1"/>
      <name val="Aptos Narrow"/>
    </font>
    <font>
      <sz val="16.0"/>
      <color theme="1"/>
      <name val="Aptos Narrow"/>
    </font>
    <font/>
    <font>
      <b/>
      <u/>
      <sz val="13.0"/>
      <color theme="1"/>
      <name val="Aptos Narrow"/>
    </font>
    <font>
      <b/>
      <sz val="10.0"/>
      <color theme="1"/>
      <name val="Arimo"/>
    </font>
    <font>
      <sz val="10.0"/>
      <color theme="1"/>
      <name val="Arimo"/>
    </font>
    <font>
      <u/>
      <sz val="13.0"/>
      <color theme="1"/>
      <name val="Aptos Narrow"/>
    </font>
    <font>
      <sz val="11.0"/>
      <color rgb="FFFF0000"/>
      <name val="Aptos Narrow"/>
    </font>
    <font>
      <i/>
      <sz val="11.0"/>
      <color rgb="FFFF0000"/>
      <name val="Aptos Narrow"/>
    </font>
    <font>
      <i/>
      <sz val="11.0"/>
      <color theme="1"/>
      <name val="Aptos Narrow"/>
    </font>
    <font>
      <b/>
      <i/>
      <sz val="11.0"/>
      <color theme="1"/>
      <name val="Aptos Narrow"/>
    </font>
    <font>
      <b/>
      <i/>
      <sz val="11.0"/>
      <color rgb="FF00B050"/>
      <name val="Aptos Narrow"/>
    </font>
    <font>
      <b/>
      <sz val="11.0"/>
      <color rgb="FF00B050"/>
      <name val="Aptos Narrow"/>
    </font>
    <font>
      <u/>
      <sz val="11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A6C9EB"/>
        <bgColor rgb="FFA6C9EB"/>
      </patternFill>
    </fill>
  </fills>
  <borders count="31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2" numFmtId="0" xfId="0" applyBorder="1" applyFont="1"/>
    <xf borderId="4" fillId="3" fontId="2" numFmtId="0" xfId="0" applyBorder="1" applyFill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5" fillId="2" fontId="7" numFmtId="0" xfId="0" applyBorder="1" applyFont="1"/>
    <xf borderId="0" fillId="0" fontId="8" numFmtId="0" xfId="0" applyFont="1"/>
    <xf borderId="0" fillId="0" fontId="8" numFmtId="0" xfId="0" applyAlignment="1" applyFont="1">
      <alignment shrinkToFit="0" wrapText="1"/>
    </xf>
    <xf borderId="4" fillId="0" fontId="9" numFmtId="0" xfId="0" applyAlignment="1" applyBorder="1" applyFont="1">
      <alignment horizontal="center" vertical="center"/>
    </xf>
    <xf borderId="0" fillId="0" fontId="10" numFmtId="0" xfId="0" applyFont="1"/>
    <xf borderId="0" fillId="0" fontId="7" numFmtId="0" xfId="0" applyFont="1"/>
    <xf borderId="0" fillId="0" fontId="7" numFmtId="0" xfId="0" applyFont="1"/>
    <xf borderId="4" fillId="0" fontId="6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11" numFmtId="0" xfId="0" applyFont="1"/>
    <xf borderId="0" fillId="0" fontId="12" numFmtId="0" xfId="0" applyFont="1"/>
    <xf borderId="0" fillId="0" fontId="12" numFmtId="0" xfId="0" applyAlignment="1" applyFont="1">
      <alignment shrinkToFit="0" wrapText="1"/>
    </xf>
    <xf borderId="0" fillId="0" fontId="12" numFmtId="0" xfId="0" applyFont="1"/>
    <xf borderId="6" fillId="0" fontId="13" numFmtId="0" xfId="0" applyBorder="1" applyFont="1"/>
    <xf borderId="0" fillId="0" fontId="14" numFmtId="0" xfId="0" applyFont="1"/>
    <xf borderId="0" fillId="0" fontId="15" numFmtId="0" xfId="0" applyFont="1"/>
    <xf borderId="0" fillId="0" fontId="16" numFmtId="0" xfId="0" applyAlignment="1" applyFont="1">
      <alignment shrinkToFit="0" wrapText="1"/>
    </xf>
    <xf borderId="0" fillId="0" fontId="17" numFmtId="0" xfId="0" applyFont="1"/>
    <xf borderId="0" fillId="0" fontId="17" numFmtId="0" xfId="0" applyAlignment="1" applyFont="1">
      <alignment shrinkToFit="0" wrapText="1"/>
    </xf>
    <xf borderId="7" fillId="2" fontId="6" numFmtId="0" xfId="0" applyAlignment="1" applyBorder="1" applyFont="1">
      <alignment horizontal="center"/>
    </xf>
    <xf borderId="8" fillId="0" fontId="18" numFmtId="0" xfId="0" applyBorder="1" applyFont="1"/>
    <xf borderId="4" fillId="2" fontId="6" numFmtId="0" xfId="0" applyBorder="1" applyFont="1"/>
    <xf borderId="0" fillId="0" fontId="2" numFmtId="0" xfId="0" applyAlignment="1" applyFont="1">
      <alignment shrinkToFit="0" wrapText="1"/>
    </xf>
    <xf borderId="9" fillId="4" fontId="2" numFmtId="0" xfId="0" applyBorder="1" applyFill="1" applyFont="1"/>
    <xf borderId="9" fillId="4" fontId="2" numFmtId="0" xfId="0" applyAlignment="1" applyBorder="1" applyFont="1">
      <alignment shrinkToFit="0" wrapText="1"/>
    </xf>
    <xf borderId="10" fillId="5" fontId="2" numFmtId="0" xfId="0" applyBorder="1" applyFill="1" applyFont="1"/>
    <xf borderId="11" fillId="5" fontId="2" numFmtId="0" xfId="0" applyAlignment="1" applyBorder="1" applyFont="1">
      <alignment shrinkToFit="0" wrapText="1"/>
    </xf>
    <xf borderId="11" fillId="5" fontId="2" numFmtId="0" xfId="0" applyBorder="1" applyFont="1"/>
    <xf borderId="12" fillId="5" fontId="2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6" fontId="2" numFmtId="0" xfId="0" applyBorder="1" applyFill="1" applyFont="1"/>
    <xf borderId="17" fillId="6" fontId="2" numFmtId="0" xfId="0" applyBorder="1" applyFont="1"/>
    <xf borderId="18" fillId="6" fontId="2" numFmtId="0" xfId="0" applyAlignment="1" applyBorder="1" applyFont="1">
      <alignment horizontal="center"/>
    </xf>
    <xf borderId="19" fillId="6" fontId="2" numFmtId="0" xfId="0" applyBorder="1" applyFont="1"/>
    <xf borderId="0" fillId="0" fontId="19" numFmtId="0" xfId="0" applyAlignment="1" applyFont="1">
      <alignment vertical="center"/>
    </xf>
    <xf borderId="0" fillId="0" fontId="2" numFmtId="0" xfId="0" applyAlignment="1" applyFont="1">
      <alignment vertical="center"/>
    </xf>
    <xf borderId="13" fillId="0" fontId="20" numFmtId="0" xfId="0" applyAlignment="1" applyBorder="1" applyFont="1">
      <alignment vertical="center"/>
    </xf>
    <xf borderId="20" fillId="0" fontId="6" numFmtId="0" xfId="0" applyBorder="1" applyFont="1"/>
    <xf borderId="4" fillId="0" fontId="2" numFmtId="0" xfId="0" applyBorder="1" applyFont="1"/>
    <xf borderId="0" fillId="0" fontId="21" numFmtId="0" xfId="0" applyAlignment="1" applyFont="1">
      <alignment vertical="center"/>
    </xf>
    <xf borderId="21" fillId="7" fontId="6" numFmtId="0" xfId="0" applyAlignment="1" applyBorder="1" applyFill="1" applyFont="1">
      <alignment horizontal="center" vertical="center"/>
    </xf>
    <xf borderId="22" fillId="7" fontId="6" numFmtId="0" xfId="0" applyAlignment="1" applyBorder="1" applyFont="1">
      <alignment horizontal="center" vertical="center"/>
    </xf>
    <xf borderId="9" fillId="5" fontId="2" numFmtId="0" xfId="0" applyAlignment="1" applyBorder="1" applyFont="1">
      <alignment shrinkToFit="0" wrapText="1"/>
    </xf>
    <xf borderId="5" fillId="7" fontId="6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21" fillId="8" fontId="17" numFmtId="0" xfId="0" applyBorder="1" applyFill="1" applyFont="1"/>
    <xf borderId="7" fillId="0" fontId="13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4" fillId="8" fontId="2" numFmtId="0" xfId="0" applyBorder="1" applyFont="1"/>
    <xf borderId="4" fillId="4" fontId="2" numFmtId="0" xfId="0" applyAlignment="1" applyBorder="1" applyFont="1">
      <alignment horizontal="left" vertical="center"/>
    </xf>
    <xf borderId="13" fillId="4" fontId="6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horizontal="center"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4" fillId="4" fontId="2" numFmtId="0" xfId="0" applyAlignment="1" applyBorder="1" applyFont="1">
      <alignment horizontal="center"/>
    </xf>
    <xf borderId="0" fillId="0" fontId="6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Font="1" applyNumberFormat="1"/>
    <xf borderId="0" fillId="0" fontId="2" numFmtId="10" xfId="0" applyFont="1" applyNumberFormat="1"/>
    <xf borderId="0" fillId="0" fontId="22" numFmtId="0" xfId="0" applyAlignment="1" applyFont="1">
      <alignment vertical="center"/>
    </xf>
    <xf borderId="4" fillId="4" fontId="6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shrinkToFit="0" vertical="center" wrapText="1"/>
    </xf>
    <xf borderId="23" fillId="0" fontId="2" numFmtId="0" xfId="0" applyBorder="1" applyFont="1"/>
    <xf borderId="4" fillId="6" fontId="2" numFmtId="0" xfId="0" applyAlignment="1" applyBorder="1" applyFont="1">
      <alignment horizontal="center"/>
    </xf>
    <xf borderId="24" fillId="0" fontId="24" numFmtId="0" xfId="0" applyAlignment="1" applyBorder="1" applyFont="1">
      <alignment horizontal="right"/>
    </xf>
    <xf borderId="0" fillId="0" fontId="2" numFmtId="165" xfId="0" applyFont="1" applyNumberFormat="1"/>
    <xf borderId="25" fillId="0" fontId="23" numFmtId="165" xfId="0" applyBorder="1" applyFont="1" applyNumberFormat="1"/>
    <xf borderId="24" fillId="0" fontId="25" numFmtId="0" xfId="0" applyAlignment="1" applyBorder="1" applyFont="1">
      <alignment horizontal="right"/>
    </xf>
    <xf borderId="25" fillId="0" fontId="2" numFmtId="165" xfId="0" applyBorder="1" applyFont="1" applyNumberFormat="1"/>
    <xf borderId="24" fillId="0" fontId="26" numFmtId="0" xfId="0" applyAlignment="1" applyBorder="1" applyFont="1">
      <alignment horizontal="right"/>
    </xf>
    <xf borderId="26" fillId="0" fontId="2" numFmtId="165" xfId="0" applyBorder="1" applyFont="1" applyNumberFormat="1"/>
    <xf borderId="27" fillId="0" fontId="6" numFmtId="165" xfId="0" applyBorder="1" applyFont="1" applyNumberFormat="1"/>
    <xf borderId="25" fillId="0" fontId="6" numFmtId="165" xfId="0" applyAlignment="1" applyBorder="1" applyFont="1" applyNumberFormat="1">
      <alignment horizontal="left"/>
    </xf>
    <xf borderId="24" fillId="0" fontId="27" numFmtId="0" xfId="0" applyAlignment="1" applyBorder="1" applyFont="1">
      <alignment horizontal="right"/>
    </xf>
    <xf borderId="25" fillId="0" fontId="28" numFmtId="165" xfId="0" applyBorder="1" applyFont="1" applyNumberFormat="1"/>
    <xf borderId="24" fillId="0" fontId="2" numFmtId="0" xfId="0" applyBorder="1" applyFont="1"/>
    <xf borderId="25" fillId="0" fontId="2" numFmtId="0" xfId="0" applyBorder="1" applyFont="1"/>
    <xf borderId="24" fillId="0" fontId="29" numFmtId="0" xfId="0" applyBorder="1" applyFont="1"/>
    <xf borderId="25" fillId="0" fontId="2" numFmtId="166" xfId="0" applyBorder="1" applyFont="1" applyNumberFormat="1"/>
    <xf borderId="27" fillId="0" fontId="6" numFmtId="166" xfId="0" applyBorder="1" applyFont="1" applyNumberFormat="1"/>
    <xf borderId="28" fillId="0" fontId="2" numFmtId="0" xfId="0" applyBorder="1" applyFont="1"/>
    <xf borderId="29" fillId="0" fontId="2" numFmtId="0" xfId="0" applyBorder="1" applyFont="1"/>
    <xf borderId="30" fillId="0" fontId="2" numFmtId="166" xfId="0" applyBorder="1" applyFont="1" applyNumberForma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F1CEEE"/>
          <bgColor rgb="FFF1CEEE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3F3F3F"/>
          <bgColor rgb="FF3F3F3F"/>
        </patternFill>
      </fill>
      <border/>
    </dxf>
    <dxf>
      <font/>
      <fill>
        <patternFill patternType="solid">
          <fgColor rgb="FF727272"/>
          <bgColor rgb="FF727272"/>
        </patternFill>
      </fill>
      <border/>
    </dxf>
    <dxf>
      <font/>
      <fill>
        <patternFill patternType="solid">
          <fgColor rgb="FF12501B"/>
          <bgColor rgb="FF12501B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5">
    <tableStyle count="3" pivot="0" name="1.Consumer Analysis-style">
      <tableStyleElement dxfId="1" type="headerRow"/>
      <tableStyleElement dxfId="2" type="firstRowStripe"/>
      <tableStyleElement dxfId="3" type="secondRowStripe"/>
    </tableStyle>
    <tableStyle count="3" pivot="0" name="1.Consumer Analysis-style 2">
      <tableStyleElement dxfId="4" type="headerRow"/>
      <tableStyleElement dxfId="5" type="firstRowStripe"/>
      <tableStyleElement dxfId="3" type="secondRowStripe"/>
    </tableStyle>
    <tableStyle count="3" pivot="0" name="1.Consumer Analysis-style 3">
      <tableStyleElement dxfId="6" type="headerRow"/>
      <tableStyleElement dxfId="7" type="firstRowStripe"/>
      <tableStyleElement dxfId="3" type="secondRowStripe"/>
    </tableStyle>
    <tableStyle count="3" pivot="0" name="1.Consumer Analysis-style 4">
      <tableStyleElement dxfId="8" type="headerRow"/>
      <tableStyleElement dxfId="9" type="firstRowStripe"/>
      <tableStyleElement dxfId="10" type="secondRowStripe"/>
    </tableStyle>
    <tableStyle count="3" pivot="0" name="1.Consumer Analysis-style 5">
      <tableStyleElement dxfId="8" type="headerRow"/>
      <tableStyleElement dxfId="11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12</xdr:row>
      <xdr:rowOff>257175</xdr:rowOff>
    </xdr:from>
    <xdr:ext cx="12125325" cy="276225"/>
    <xdr:sp>
      <xdr:nvSpPr>
        <xdr:cNvPr id="3" name="Shape 3"/>
        <xdr:cNvSpPr/>
      </xdr:nvSpPr>
      <xdr:spPr>
        <a:xfrm>
          <a:off x="0" y="3651413"/>
          <a:ext cx="10692000" cy="25717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59</xdr:row>
      <xdr:rowOff>0</xdr:rowOff>
    </xdr:from>
    <xdr:ext cx="2447925" cy="352425"/>
    <xdr:grpSp>
      <xdr:nvGrpSpPr>
        <xdr:cNvPr id="2" name="Shape 2"/>
        <xdr:cNvGrpSpPr/>
      </xdr:nvGrpSpPr>
      <xdr:grpSpPr>
        <a:xfrm>
          <a:off x="4131563" y="3613313"/>
          <a:ext cx="2428875" cy="333375"/>
          <a:chOff x="4131563" y="3613313"/>
          <a:chExt cx="2428875" cy="333375"/>
        </a:xfrm>
      </xdr:grpSpPr>
      <xdr:cxnSp>
        <xdr:nvCxnSpPr>
          <xdr:cNvPr id="4" name="Shape 4"/>
          <xdr:cNvCxnSpPr/>
        </xdr:nvCxnSpPr>
        <xdr:spPr>
          <a:xfrm rot="10800000">
            <a:off x="4131563" y="3613313"/>
            <a:ext cx="2428875" cy="333375"/>
          </a:xfrm>
          <a:prstGeom prst="straightConnector1">
            <a:avLst/>
          </a:prstGeom>
          <a:noFill/>
          <a:ln cap="flat" cmpd="sng" w="19050">
            <a:solidFill>
              <a:schemeClr val="accent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21</xdr:row>
      <xdr:rowOff>142875</xdr:rowOff>
    </xdr:from>
    <xdr:ext cx="1571625" cy="257175"/>
    <xdr:sp>
      <xdr:nvSpPr>
        <xdr:cNvPr id="5" name="Shape 5"/>
        <xdr:cNvSpPr/>
      </xdr:nvSpPr>
      <xdr:spPr>
        <a:xfrm>
          <a:off x="4569713" y="3660938"/>
          <a:ext cx="1552575" cy="2381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9050">
          <a:solidFill>
            <a:srgbClr val="082836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B19" displayName="Table_1" name="Table_1" id="1">
  <tableColumns count="2">
    <tableColumn name="Need/Use Category" id="1"/>
    <tableColumn name="Description" id="2"/>
  </tableColumns>
  <tableStyleInfo name="1.Consumer Analysis-style" showColumnStripes="0" showFirstColumn="1" showLastColumn="1" showRowStripes="1"/>
</table>
</file>

<file path=xl/tables/table2.xml><?xml version="1.0" encoding="utf-8"?>
<table xmlns="http://schemas.openxmlformats.org/spreadsheetml/2006/main" ref="A25:E35" displayName="Table_2" name="Table_2" id="2">
  <tableColumns count="5">
    <tableColumn name="Buyer/User Type" id="1"/>
    <tableColumn name="Description" id="2"/>
    <tableColumn name="Primary Motivation" id="3"/>
    <tableColumn name="Purchasing Power" id="4"/>
    <tableColumn name="Booking Channel" id="5"/>
  </tableColumns>
  <tableStyleInfo name="1.Consumer Analysis-style 2" showColumnStripes="0" showFirstColumn="1" showLastColumn="1" showRowStripes="1"/>
</table>
</file>

<file path=xl/tables/table3.xml><?xml version="1.0" encoding="utf-8"?>
<table xmlns="http://schemas.openxmlformats.org/spreadsheetml/2006/main" ref="A40:E45" displayName="Table_3" name="Table_3" id="3">
  <tableColumns count="5">
    <tableColumn name="Stage" id="1"/>
    <tableColumn name="Description" id="2"/>
    <tableColumn name="Customer Actions" id="3"/>
    <tableColumn name="Channels Involved" id="4"/>
    <tableColumn name="Lamron’s Role" id="5"/>
  </tableColumns>
  <tableStyleInfo name="1.Consumer Analysis-style 3" showColumnStripes="0" showFirstColumn="1" showLastColumn="1" showRowStripes="1"/>
</table>
</file>

<file path=xl/tables/table4.xml><?xml version="1.0" encoding="utf-8"?>
<table xmlns="http://schemas.openxmlformats.org/spreadsheetml/2006/main" ref="A51:D59" displayName="Table_4" name="Table_4" id="4">
  <tableColumns count="4">
    <tableColumn name="Factor" id="1"/>
    <tableColumn name="Description" id="2"/>
    <tableColumn name="Lamron Tours and Safaris Assessment" id="3"/>
    <tableColumn name="Conclusion" id="4"/>
  </tableColumns>
  <tableStyleInfo name="1.Consumer Analysis-style 4" showColumnStripes="0" showFirstColumn="1" showLastColumn="1" showRowStripes="1"/>
</table>
</file>

<file path=xl/tables/table5.xml><?xml version="1.0" encoding="utf-8"?>
<table xmlns="http://schemas.openxmlformats.org/spreadsheetml/2006/main" ref="A65:C69" displayName="Table_5" name="Table_5" id="5">
  <tableColumns count="3">
    <tableColumn name="Segmentation Type" id="1"/>
    <tableColumn name="Segment Details" id="2"/>
    <tableColumn name="How Lamron Will Target" id="3"/>
  </tableColumns>
  <tableStyleInfo name="1.Consumer Analysis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6" width="8.63"/>
  </cols>
  <sheetData>
    <row r="1" ht="14.25" customHeight="1">
      <c r="A1" s="1" t="s">
        <v>0</v>
      </c>
      <c r="B1" s="2"/>
      <c r="C1" s="2"/>
      <c r="D1" s="2"/>
      <c r="E1" s="2"/>
      <c r="F1" s="3"/>
    </row>
    <row r="2" ht="14.25" customHeight="1"/>
    <row r="3" ht="14.25" customHeight="1">
      <c r="A3" s="4" t="s">
        <v>1</v>
      </c>
    </row>
    <row r="4" ht="14.25" customHeight="1">
      <c r="A4" s="5" t="s">
        <v>2</v>
      </c>
    </row>
    <row r="5" ht="14.25" customHeight="1">
      <c r="A5" s="6">
        <v>1.0</v>
      </c>
      <c r="B5" s="7" t="s">
        <v>3</v>
      </c>
    </row>
    <row r="6" ht="14.25" customHeight="1">
      <c r="A6" s="6">
        <v>2.0</v>
      </c>
      <c r="B6" s="7" t="s">
        <v>4</v>
      </c>
    </row>
    <row r="7" ht="14.25" customHeight="1">
      <c r="A7" s="6">
        <v>3.0</v>
      </c>
      <c r="B7" s="7" t="s">
        <v>5</v>
      </c>
    </row>
    <row r="8" ht="14.25" customHeight="1">
      <c r="A8" s="6">
        <v>4.0</v>
      </c>
      <c r="B8" s="6" t="s">
        <v>6</v>
      </c>
    </row>
    <row r="9" ht="14.25" customHeight="1">
      <c r="A9" s="6">
        <v>5.0</v>
      </c>
      <c r="B9" s="6" t="s">
        <v>7</v>
      </c>
    </row>
    <row r="10" ht="14.25" customHeight="1">
      <c r="A10" s="6">
        <v>6.0</v>
      </c>
      <c r="B10" s="6" t="s">
        <v>8</v>
      </c>
    </row>
    <row r="11" ht="14.25" customHeight="1">
      <c r="A11" s="6">
        <v>7.0</v>
      </c>
      <c r="B11" s="6" t="s">
        <v>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display="Consumer Analysis" location="'1.Consumer Analysis'!A1" ref="B5"/>
    <hyperlink display="Market Analysis" location="'2. Market Analysis'!A1" ref="B6"/>
    <hyperlink display="Competion vs Us" location="'3. Competition vs Lamron'!A1" ref="B7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E5A1"/>
    <pageSetUpPr/>
  </sheetPr>
  <sheetViews>
    <sheetView workbookViewId="0"/>
  </sheetViews>
  <sheetFormatPr customHeight="1" defaultColWidth="12.63" defaultRowHeight="15.0"/>
  <cols>
    <col customWidth="1" min="1" max="1" width="52.13"/>
    <col customWidth="1" min="2" max="2" width="93.25"/>
    <col customWidth="1" min="3" max="3" width="76.75"/>
    <col customWidth="1" min="4" max="4" width="35.63"/>
    <col customWidth="1" min="5" max="5" width="52.88"/>
    <col customWidth="1" min="6" max="6" width="15.5"/>
    <col customWidth="1" min="7" max="7" width="15.13"/>
    <col customWidth="1" min="8" max="8" width="14.13"/>
    <col customWidth="1" min="9" max="9" width="14.75"/>
    <col customWidth="1" min="10" max="26" width="8.63"/>
  </cols>
  <sheetData>
    <row r="1" ht="14.25" customHeight="1">
      <c r="A1" s="8"/>
    </row>
    <row r="2" ht="14.25" customHeight="1">
      <c r="A2" s="5" t="s">
        <v>10</v>
      </c>
    </row>
    <row r="3" ht="14.25" customHeight="1"/>
    <row r="4" ht="14.25" customHeight="1">
      <c r="A4" s="9" t="s">
        <v>11</v>
      </c>
      <c r="B4" s="9" t="s">
        <v>12</v>
      </c>
    </row>
    <row r="5" ht="14.25" customHeight="1">
      <c r="A5" s="10" t="s">
        <v>13</v>
      </c>
      <c r="B5" s="11" t="s">
        <v>14</v>
      </c>
    </row>
    <row r="6" ht="14.25" customHeight="1">
      <c r="A6" s="10" t="s">
        <v>15</v>
      </c>
      <c r="B6" s="11" t="s">
        <v>16</v>
      </c>
    </row>
    <row r="7" ht="14.25" customHeight="1">
      <c r="A7" s="10" t="s">
        <v>17</v>
      </c>
      <c r="B7" s="11" t="s">
        <v>18</v>
      </c>
    </row>
    <row r="8" ht="14.25" customHeight="1">
      <c r="A8" s="10" t="s">
        <v>19</v>
      </c>
      <c r="B8" s="11" t="s">
        <v>20</v>
      </c>
    </row>
    <row r="9" ht="14.25" customHeight="1">
      <c r="A9" s="10" t="s">
        <v>21</v>
      </c>
      <c r="B9" s="11" t="s">
        <v>22</v>
      </c>
    </row>
    <row r="10" ht="14.25" customHeight="1">
      <c r="A10" s="10" t="s">
        <v>23</v>
      </c>
      <c r="B10" s="11" t="s">
        <v>24</v>
      </c>
    </row>
    <row r="11" ht="14.25" customHeight="1">
      <c r="A11" s="10" t="s">
        <v>25</v>
      </c>
      <c r="B11" s="11" t="s">
        <v>26</v>
      </c>
    </row>
    <row r="12" ht="14.25" customHeight="1">
      <c r="A12" s="10" t="s">
        <v>27</v>
      </c>
      <c r="B12" s="11" t="s">
        <v>28</v>
      </c>
    </row>
    <row r="13" ht="14.25" customHeight="1">
      <c r="A13" s="10" t="s">
        <v>29</v>
      </c>
      <c r="B13" s="11" t="s">
        <v>30</v>
      </c>
    </row>
    <row r="14" ht="14.25" customHeight="1">
      <c r="A14" s="10" t="s">
        <v>31</v>
      </c>
      <c r="B14" s="11" t="s">
        <v>32</v>
      </c>
      <c r="F14" s="12" t="s">
        <v>33</v>
      </c>
      <c r="G14" s="12" t="s">
        <v>34</v>
      </c>
      <c r="H14" s="12" t="s">
        <v>35</v>
      </c>
      <c r="I14" s="12" t="s">
        <v>36</v>
      </c>
    </row>
    <row r="15" ht="14.25" customHeight="1">
      <c r="A15" s="10" t="s">
        <v>37</v>
      </c>
      <c r="B15" s="11" t="s">
        <v>38</v>
      </c>
      <c r="F15" s="6" t="s">
        <v>39</v>
      </c>
      <c r="G15" s="6" t="s">
        <v>39</v>
      </c>
      <c r="H15" s="6" t="s">
        <v>39</v>
      </c>
      <c r="I15" s="6" t="s">
        <v>39</v>
      </c>
    </row>
    <row r="16" ht="14.25" customHeight="1">
      <c r="A16" s="10" t="s">
        <v>40</v>
      </c>
      <c r="B16" s="11" t="s">
        <v>41</v>
      </c>
    </row>
    <row r="17" ht="14.25" customHeight="1">
      <c r="A17" s="10" t="s">
        <v>42</v>
      </c>
      <c r="B17" s="11" t="s">
        <v>43</v>
      </c>
    </row>
    <row r="18" ht="14.25" customHeight="1">
      <c r="A18" s="10" t="s">
        <v>44</v>
      </c>
      <c r="B18" s="11" t="s">
        <v>45</v>
      </c>
    </row>
    <row r="19" ht="14.25" customHeight="1">
      <c r="A19" s="10" t="s">
        <v>46</v>
      </c>
      <c r="B19" s="11" t="s">
        <v>47</v>
      </c>
    </row>
    <row r="20" ht="14.25" customHeight="1"/>
    <row r="21" ht="14.25" customHeight="1"/>
    <row r="22" ht="14.25" customHeight="1"/>
    <row r="23" ht="14.25" customHeight="1">
      <c r="A23" s="13" t="s">
        <v>48</v>
      </c>
      <c r="O23" s="6" t="s">
        <v>49</v>
      </c>
      <c r="P23" s="6" t="s">
        <v>50</v>
      </c>
      <c r="Q23" s="6" t="s">
        <v>51</v>
      </c>
      <c r="R23" s="6" t="s">
        <v>52</v>
      </c>
    </row>
    <row r="24" ht="14.25" customHeight="1">
      <c r="P24" s="6">
        <v>1.0</v>
      </c>
      <c r="Q24" s="6" t="s">
        <v>53</v>
      </c>
    </row>
    <row r="25" ht="14.25" customHeight="1">
      <c r="A25" s="14" t="s">
        <v>54</v>
      </c>
      <c r="B25" s="14" t="s">
        <v>12</v>
      </c>
      <c r="C25" s="14" t="s">
        <v>55</v>
      </c>
      <c r="D25" s="14" t="s">
        <v>56</v>
      </c>
      <c r="E25" s="14" t="s">
        <v>57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>
        <v>2.0</v>
      </c>
      <c r="Q25" s="15" t="s">
        <v>58</v>
      </c>
      <c r="R25" s="15"/>
      <c r="S25" s="15"/>
      <c r="T25" s="15"/>
      <c r="U25" s="15"/>
      <c r="V25" s="15"/>
      <c r="W25" s="15"/>
      <c r="X25" s="15"/>
      <c r="Y25" s="15"/>
      <c r="Z25" s="15"/>
    </row>
    <row r="26" ht="14.25" customHeight="1">
      <c r="A26" s="16" t="s">
        <v>59</v>
      </c>
      <c r="B26" s="17" t="s">
        <v>60</v>
      </c>
      <c r="C26" s="18" t="s">
        <v>61</v>
      </c>
      <c r="D26" s="18" t="s">
        <v>62</v>
      </c>
      <c r="E26" s="18" t="s">
        <v>63</v>
      </c>
      <c r="P26" s="6">
        <v>3.0</v>
      </c>
      <c r="Q26" s="6" t="s">
        <v>64</v>
      </c>
    </row>
    <row r="27" ht="14.25" hidden="1" customHeight="1">
      <c r="A27" s="16" t="s">
        <v>65</v>
      </c>
      <c r="B27" s="17" t="s">
        <v>66</v>
      </c>
      <c r="C27" s="18" t="s">
        <v>67</v>
      </c>
      <c r="D27" s="18" t="s">
        <v>68</v>
      </c>
      <c r="E27" s="18" t="s">
        <v>69</v>
      </c>
      <c r="P27" s="6">
        <v>4.0</v>
      </c>
      <c r="Q27" s="6" t="s">
        <v>70</v>
      </c>
    </row>
    <row r="28" ht="14.25" customHeight="1">
      <c r="A28" s="16" t="s">
        <v>71</v>
      </c>
      <c r="B28" s="17" t="s">
        <v>72</v>
      </c>
      <c r="C28" s="18" t="s">
        <v>73</v>
      </c>
      <c r="D28" s="18" t="s">
        <v>74</v>
      </c>
      <c r="E28" s="18" t="s">
        <v>75</v>
      </c>
      <c r="P28" s="6">
        <v>5.0</v>
      </c>
      <c r="Q28" s="6" t="s">
        <v>76</v>
      </c>
    </row>
    <row r="29" ht="14.25" customHeight="1">
      <c r="A29" s="16" t="s">
        <v>77</v>
      </c>
      <c r="B29" s="17" t="s">
        <v>78</v>
      </c>
      <c r="C29" s="18" t="s">
        <v>79</v>
      </c>
      <c r="D29" s="18" t="s">
        <v>62</v>
      </c>
      <c r="E29" s="18" t="s">
        <v>80</v>
      </c>
    </row>
    <row r="30" ht="14.25" customHeight="1">
      <c r="A30" s="16" t="s">
        <v>81</v>
      </c>
      <c r="B30" s="17" t="s">
        <v>82</v>
      </c>
      <c r="C30" s="18" t="s">
        <v>83</v>
      </c>
      <c r="D30" s="18" t="s">
        <v>62</v>
      </c>
      <c r="E30" s="18" t="s">
        <v>84</v>
      </c>
    </row>
    <row r="31" ht="14.25" hidden="1" customHeight="1">
      <c r="A31" s="16" t="s">
        <v>85</v>
      </c>
      <c r="B31" s="17" t="s">
        <v>86</v>
      </c>
      <c r="C31" s="18" t="s">
        <v>87</v>
      </c>
      <c r="D31" s="18" t="s">
        <v>88</v>
      </c>
      <c r="E31" s="18" t="s">
        <v>89</v>
      </c>
    </row>
    <row r="32" ht="14.25" customHeight="1">
      <c r="A32" s="16" t="s">
        <v>90</v>
      </c>
      <c r="B32" s="17" t="s">
        <v>91</v>
      </c>
      <c r="C32" s="18" t="s">
        <v>92</v>
      </c>
      <c r="D32" s="18" t="s">
        <v>93</v>
      </c>
      <c r="E32" s="18" t="s">
        <v>94</v>
      </c>
    </row>
    <row r="33" ht="14.25" hidden="1" customHeight="1">
      <c r="A33" s="16" t="s">
        <v>95</v>
      </c>
      <c r="B33" s="17" t="s">
        <v>96</v>
      </c>
      <c r="C33" s="18" t="s">
        <v>97</v>
      </c>
      <c r="D33" s="18" t="s">
        <v>98</v>
      </c>
      <c r="E33" s="18" t="s">
        <v>99</v>
      </c>
    </row>
    <row r="34" ht="14.25" customHeight="1">
      <c r="A34" s="16" t="s">
        <v>100</v>
      </c>
      <c r="B34" s="17" t="s">
        <v>101</v>
      </c>
      <c r="C34" s="18" t="s">
        <v>102</v>
      </c>
      <c r="D34" s="18" t="s">
        <v>74</v>
      </c>
      <c r="E34" s="18" t="s">
        <v>103</v>
      </c>
    </row>
    <row r="35" ht="14.25" customHeight="1">
      <c r="A35" s="16" t="s">
        <v>104</v>
      </c>
      <c r="B35" s="17" t="s">
        <v>105</v>
      </c>
      <c r="C35" s="18" t="s">
        <v>106</v>
      </c>
      <c r="D35" s="18" t="s">
        <v>107</v>
      </c>
      <c r="E35" s="18" t="s">
        <v>108</v>
      </c>
    </row>
    <row r="36" ht="14.25" customHeight="1"/>
    <row r="37" ht="14.25" customHeight="1"/>
    <row r="38" ht="14.25" customHeight="1">
      <c r="A38" s="13" t="s">
        <v>109</v>
      </c>
    </row>
    <row r="39" ht="14.25" customHeight="1"/>
    <row r="40" ht="14.25" customHeight="1">
      <c r="A40" s="14" t="s">
        <v>110</v>
      </c>
      <c r="B40" s="14" t="s">
        <v>12</v>
      </c>
      <c r="C40" s="14" t="s">
        <v>111</v>
      </c>
      <c r="D40" s="14" t="s">
        <v>112</v>
      </c>
      <c r="E40" s="14" t="s">
        <v>113</v>
      </c>
    </row>
    <row r="41" ht="14.25" customHeight="1">
      <c r="A41" s="10" t="s">
        <v>114</v>
      </c>
      <c r="B41" s="10" t="s">
        <v>115</v>
      </c>
      <c r="C41" s="11" t="s">
        <v>116</v>
      </c>
      <c r="D41" s="11" t="s">
        <v>117</v>
      </c>
      <c r="E41" s="11" t="s">
        <v>118</v>
      </c>
    </row>
    <row r="42" ht="14.25" customHeight="1">
      <c r="A42" s="10" t="s">
        <v>119</v>
      </c>
      <c r="B42" s="10" t="s">
        <v>120</v>
      </c>
      <c r="C42" s="11" t="s">
        <v>121</v>
      </c>
      <c r="D42" s="11" t="s">
        <v>122</v>
      </c>
      <c r="E42" s="11" t="s">
        <v>123</v>
      </c>
    </row>
    <row r="43" ht="14.25" customHeight="1">
      <c r="A43" s="10" t="s">
        <v>124</v>
      </c>
      <c r="B43" s="10" t="s">
        <v>125</v>
      </c>
      <c r="C43" s="11" t="s">
        <v>126</v>
      </c>
      <c r="D43" s="11" t="s">
        <v>127</v>
      </c>
      <c r="E43" s="11" t="s">
        <v>128</v>
      </c>
    </row>
    <row r="44" ht="14.25" customHeight="1">
      <c r="A44" s="10" t="s">
        <v>129</v>
      </c>
      <c r="B44" s="10" t="s">
        <v>130</v>
      </c>
      <c r="C44" s="11" t="s">
        <v>131</v>
      </c>
      <c r="D44" s="11" t="s">
        <v>132</v>
      </c>
      <c r="E44" s="11" t="s">
        <v>133</v>
      </c>
    </row>
    <row r="45" ht="14.25" customHeight="1">
      <c r="A45" s="10" t="s">
        <v>134</v>
      </c>
      <c r="B45" s="10" t="s">
        <v>135</v>
      </c>
      <c r="C45" s="11" t="s">
        <v>136</v>
      </c>
      <c r="D45" s="11" t="s">
        <v>137</v>
      </c>
      <c r="E45" s="11" t="s">
        <v>138</v>
      </c>
    </row>
    <row r="46" ht="14.25" customHeight="1"/>
    <row r="47" ht="14.25" customHeight="1"/>
    <row r="48" ht="14.25" customHeight="1"/>
    <row r="49" ht="14.25" customHeight="1">
      <c r="A49" s="19" t="s">
        <v>139</v>
      </c>
    </row>
    <row r="50" ht="14.25" customHeight="1"/>
    <row r="51" ht="14.25" customHeight="1">
      <c r="A51" s="20" t="s">
        <v>140</v>
      </c>
      <c r="B51" s="20" t="s">
        <v>12</v>
      </c>
      <c r="C51" s="20" t="s">
        <v>141</v>
      </c>
      <c r="D51" s="20" t="s">
        <v>142</v>
      </c>
    </row>
    <row r="52" ht="14.25" customHeight="1">
      <c r="A52" s="20" t="s">
        <v>143</v>
      </c>
      <c r="B52" s="20" t="s">
        <v>144</v>
      </c>
      <c r="C52" s="21" t="s">
        <v>145</v>
      </c>
      <c r="D52" s="20" t="s">
        <v>146</v>
      </c>
    </row>
    <row r="53" ht="14.25" customHeight="1">
      <c r="A53" s="20" t="s">
        <v>147</v>
      </c>
      <c r="B53" s="20" t="s">
        <v>148</v>
      </c>
      <c r="C53" s="21" t="s">
        <v>149</v>
      </c>
      <c r="D53" s="20" t="s">
        <v>146</v>
      </c>
    </row>
    <row r="54" ht="14.25" customHeight="1">
      <c r="A54" s="20" t="s">
        <v>150</v>
      </c>
      <c r="B54" s="20" t="s">
        <v>151</v>
      </c>
      <c r="C54" s="21" t="s">
        <v>152</v>
      </c>
      <c r="D54" s="20" t="s">
        <v>146</v>
      </c>
    </row>
    <row r="55" ht="14.25" customHeight="1">
      <c r="A55" s="20" t="s">
        <v>153</v>
      </c>
      <c r="B55" s="20" t="s">
        <v>154</v>
      </c>
      <c r="C55" s="21" t="s">
        <v>155</v>
      </c>
      <c r="D55" s="20" t="s">
        <v>146</v>
      </c>
    </row>
    <row r="56" ht="14.25" customHeight="1">
      <c r="A56" s="20" t="s">
        <v>156</v>
      </c>
      <c r="B56" s="20" t="s">
        <v>157</v>
      </c>
      <c r="C56" s="21" t="s">
        <v>158</v>
      </c>
      <c r="D56" s="20" t="s">
        <v>146</v>
      </c>
    </row>
    <row r="57" ht="14.25" customHeight="1">
      <c r="A57" s="20" t="s">
        <v>159</v>
      </c>
      <c r="B57" s="20" t="s">
        <v>160</v>
      </c>
      <c r="C57" s="21" t="s">
        <v>161</v>
      </c>
      <c r="D57" s="20" t="s">
        <v>146</v>
      </c>
    </row>
    <row r="58" ht="14.25" customHeight="1">
      <c r="A58" s="20" t="s">
        <v>162</v>
      </c>
      <c r="B58" s="20" t="s">
        <v>163</v>
      </c>
      <c r="C58" s="21" t="s">
        <v>164</v>
      </c>
      <c r="D58" s="20" t="s">
        <v>146</v>
      </c>
    </row>
    <row r="59" ht="14.25" customHeight="1">
      <c r="A59" s="20" t="s">
        <v>134</v>
      </c>
      <c r="B59" s="20" t="s">
        <v>165</v>
      </c>
      <c r="C59" s="21" t="s">
        <v>166</v>
      </c>
      <c r="D59" s="20" t="s">
        <v>146</v>
      </c>
    </row>
    <row r="60" ht="14.25" customHeight="1">
      <c r="A60" s="22" t="s">
        <v>167</v>
      </c>
      <c r="B60" s="22" t="s">
        <v>168</v>
      </c>
      <c r="C60" s="22" t="s">
        <v>168</v>
      </c>
      <c r="D60" s="23" t="s">
        <v>169</v>
      </c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14.25" customHeight="1"/>
    <row r="62" ht="14.25" customHeight="1"/>
    <row r="63" ht="14.25" customHeight="1">
      <c r="A63" s="24" t="s">
        <v>170</v>
      </c>
    </row>
    <row r="64" ht="14.25" customHeight="1"/>
    <row r="65" ht="14.25" customHeight="1">
      <c r="A65" s="25" t="s">
        <v>171</v>
      </c>
      <c r="B65" s="26" t="s">
        <v>172</v>
      </c>
      <c r="C65" s="25" t="s">
        <v>173</v>
      </c>
    </row>
    <row r="66" ht="14.25" customHeight="1">
      <c r="A66" s="27" t="s">
        <v>174</v>
      </c>
      <c r="B66" s="28" t="s">
        <v>175</v>
      </c>
      <c r="C66" s="28" t="s">
        <v>176</v>
      </c>
    </row>
    <row r="67" ht="14.25" customHeight="1">
      <c r="A67" s="27" t="s">
        <v>177</v>
      </c>
      <c r="B67" s="28" t="s">
        <v>178</v>
      </c>
      <c r="C67" s="28" t="s">
        <v>179</v>
      </c>
    </row>
    <row r="68" ht="14.25" customHeight="1">
      <c r="A68" s="27" t="s">
        <v>180</v>
      </c>
      <c r="B68" s="28" t="s">
        <v>181</v>
      </c>
      <c r="C68" s="28" t="s">
        <v>182</v>
      </c>
    </row>
    <row r="69" ht="14.25" customHeight="1">
      <c r="A69" s="27" t="s">
        <v>183</v>
      </c>
      <c r="B69" s="28" t="s">
        <v>184</v>
      </c>
      <c r="C69" s="28" t="s">
        <v>185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5DCF7"/>
    <pageSetUpPr/>
  </sheetPr>
  <sheetViews>
    <sheetView workbookViewId="0"/>
  </sheetViews>
  <sheetFormatPr customHeight="1" defaultColWidth="12.63" defaultRowHeight="15.0"/>
  <cols>
    <col customWidth="1" min="1" max="1" width="34.75"/>
    <col customWidth="1" min="2" max="2" width="50.0"/>
    <col customWidth="1" min="3" max="3" width="75.63"/>
    <col customWidth="1" min="4" max="4" width="65.5"/>
    <col customWidth="1" min="5" max="5" width="91.5"/>
    <col customWidth="1" min="6" max="26" width="8.63"/>
  </cols>
  <sheetData>
    <row r="1" ht="14.25" customHeight="1">
      <c r="A1" s="13" t="s">
        <v>186</v>
      </c>
    </row>
    <row r="2" ht="14.25" customHeight="1"/>
    <row r="3" ht="14.25" customHeight="1">
      <c r="A3" s="29" t="s">
        <v>187</v>
      </c>
      <c r="B3" s="30"/>
      <c r="C3" s="31" t="s">
        <v>12</v>
      </c>
      <c r="D3" s="31" t="s">
        <v>188</v>
      </c>
    </row>
    <row r="4" ht="14.25" customHeight="1">
      <c r="C4" s="32"/>
      <c r="D4" s="32"/>
    </row>
    <row r="5" ht="14.25" customHeight="1">
      <c r="C5" s="32" t="s">
        <v>189</v>
      </c>
      <c r="D5" s="32" t="s">
        <v>190</v>
      </c>
    </row>
    <row r="6" ht="14.25" customHeight="1">
      <c r="C6" s="32" t="s">
        <v>191</v>
      </c>
      <c r="D6" s="32" t="s">
        <v>192</v>
      </c>
    </row>
    <row r="7" ht="14.25" customHeight="1">
      <c r="C7" s="32" t="s">
        <v>193</v>
      </c>
      <c r="D7" s="32" t="s">
        <v>194</v>
      </c>
    </row>
    <row r="8" ht="14.25" customHeight="1">
      <c r="C8" s="32" t="s">
        <v>195</v>
      </c>
      <c r="D8" s="32" t="s">
        <v>196</v>
      </c>
    </row>
    <row r="9" ht="14.25" customHeight="1">
      <c r="C9" s="32" t="s">
        <v>197</v>
      </c>
      <c r="D9" s="32" t="s">
        <v>198</v>
      </c>
    </row>
    <row r="10" ht="14.25" customHeight="1">
      <c r="C10" s="32" t="s">
        <v>199</v>
      </c>
      <c r="D10" s="32" t="s">
        <v>200</v>
      </c>
    </row>
    <row r="11" ht="14.25" customHeight="1">
      <c r="C11" s="32" t="s">
        <v>201</v>
      </c>
      <c r="D11" s="32" t="s">
        <v>202</v>
      </c>
    </row>
    <row r="12" ht="14.25" customHeight="1"/>
    <row r="13" ht="14.25" customHeight="1"/>
    <row r="14" ht="14.25" customHeight="1">
      <c r="A14" s="13" t="s">
        <v>203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>
      <c r="A43" s="31" t="s">
        <v>204</v>
      </c>
      <c r="B43" s="31" t="s">
        <v>205</v>
      </c>
      <c r="C43" s="31" t="s">
        <v>206</v>
      </c>
      <c r="D43" s="31" t="s">
        <v>207</v>
      </c>
      <c r="E43" s="31" t="s">
        <v>208</v>
      </c>
    </row>
    <row r="44" ht="14.25" customHeight="1">
      <c r="A44" s="33" t="s">
        <v>209</v>
      </c>
      <c r="B44" s="34" t="s">
        <v>210</v>
      </c>
      <c r="C44" s="33" t="s">
        <v>211</v>
      </c>
      <c r="D44" s="33" t="s">
        <v>212</v>
      </c>
      <c r="E44" s="33" t="s">
        <v>213</v>
      </c>
    </row>
    <row r="45" ht="14.25" customHeight="1">
      <c r="A45" s="35" t="s">
        <v>214</v>
      </c>
      <c r="B45" s="36" t="s">
        <v>215</v>
      </c>
      <c r="C45" s="37" t="s">
        <v>216</v>
      </c>
      <c r="D45" s="37" t="s">
        <v>217</v>
      </c>
      <c r="E45" s="38" t="s">
        <v>218</v>
      </c>
    </row>
    <row r="46" ht="14.25" customHeight="1">
      <c r="A46" s="6" t="s">
        <v>219</v>
      </c>
      <c r="B46" s="32" t="s">
        <v>220</v>
      </c>
      <c r="C46" s="6" t="s">
        <v>221</v>
      </c>
      <c r="D46" s="6" t="s">
        <v>222</v>
      </c>
      <c r="E46" s="6" t="s">
        <v>223</v>
      </c>
    </row>
    <row r="47" ht="14.25" customHeight="1">
      <c r="A47" s="6" t="s">
        <v>224</v>
      </c>
      <c r="B47" s="32" t="s">
        <v>225</v>
      </c>
      <c r="C47" s="6" t="s">
        <v>226</v>
      </c>
      <c r="D47" s="6" t="s">
        <v>227</v>
      </c>
      <c r="E47" s="6" t="s">
        <v>228</v>
      </c>
    </row>
    <row r="48" ht="14.25" customHeight="1">
      <c r="A48" s="6" t="s">
        <v>229</v>
      </c>
      <c r="B48" s="32" t="s">
        <v>230</v>
      </c>
      <c r="C48" s="6" t="s">
        <v>231</v>
      </c>
      <c r="D48" s="6" t="s">
        <v>232</v>
      </c>
      <c r="E48" s="6" t="s">
        <v>233</v>
      </c>
    </row>
    <row r="49" ht="14.25" customHeight="1">
      <c r="A49" s="6" t="s">
        <v>100</v>
      </c>
      <c r="B49" s="32" t="s">
        <v>234</v>
      </c>
      <c r="C49" s="6" t="s">
        <v>235</v>
      </c>
      <c r="D49" s="6" t="s">
        <v>236</v>
      </c>
      <c r="E49" s="6" t="s">
        <v>237</v>
      </c>
    </row>
    <row r="50" ht="14.25" customHeight="1">
      <c r="A50" s="6" t="s">
        <v>238</v>
      </c>
      <c r="B50" s="32" t="s">
        <v>239</v>
      </c>
      <c r="C50" s="6" t="s">
        <v>240</v>
      </c>
      <c r="D50" s="6" t="s">
        <v>241</v>
      </c>
      <c r="E50" s="6" t="s">
        <v>242</v>
      </c>
    </row>
    <row r="51" ht="14.25" customHeight="1">
      <c r="A51" s="35" t="s">
        <v>77</v>
      </c>
      <c r="B51" s="36" t="s">
        <v>243</v>
      </c>
      <c r="C51" s="37" t="s">
        <v>244</v>
      </c>
      <c r="D51" s="37" t="s">
        <v>245</v>
      </c>
      <c r="E51" s="38" t="s">
        <v>246</v>
      </c>
    </row>
    <row r="52" ht="14.25" customHeight="1"/>
    <row r="53" ht="14.25" customHeight="1"/>
    <row r="54" ht="14.25" customHeight="1">
      <c r="A54" s="13" t="s">
        <v>247</v>
      </c>
    </row>
    <row r="55" ht="14.25" customHeight="1"/>
    <row r="56" ht="14.25" customHeight="1">
      <c r="A56" s="39" t="s">
        <v>248</v>
      </c>
      <c r="B56" s="40" t="s">
        <v>12</v>
      </c>
      <c r="C56" s="40" t="s">
        <v>141</v>
      </c>
      <c r="D56" s="41" t="s">
        <v>249</v>
      </c>
    </row>
    <row r="57" ht="14.25" customHeight="1">
      <c r="A57" s="6" t="s">
        <v>250</v>
      </c>
      <c r="B57" s="6" t="s">
        <v>251</v>
      </c>
      <c r="C57" s="6" t="s">
        <v>252</v>
      </c>
      <c r="D57" s="42" t="s">
        <v>253</v>
      </c>
    </row>
    <row r="58" ht="14.25" customHeight="1">
      <c r="A58" s="6" t="s">
        <v>254</v>
      </c>
      <c r="B58" s="6" t="s">
        <v>255</v>
      </c>
      <c r="C58" s="6" t="s">
        <v>256</v>
      </c>
      <c r="D58" s="43" t="s">
        <v>257</v>
      </c>
    </row>
    <row r="59" ht="14.25" customHeight="1">
      <c r="A59" s="6" t="s">
        <v>258</v>
      </c>
      <c r="B59" s="6" t="s">
        <v>259</v>
      </c>
      <c r="C59" s="6" t="s">
        <v>260</v>
      </c>
      <c r="D59" s="43" t="s">
        <v>261</v>
      </c>
    </row>
    <row r="60" ht="14.25" customHeight="1">
      <c r="A60" s="6" t="s">
        <v>262</v>
      </c>
      <c r="B60" s="6" t="s">
        <v>263</v>
      </c>
      <c r="C60" s="6" t="s">
        <v>264</v>
      </c>
      <c r="D60" s="43" t="s">
        <v>265</v>
      </c>
    </row>
    <row r="61" ht="14.25" customHeight="1">
      <c r="A61" s="6" t="s">
        <v>266</v>
      </c>
      <c r="B61" s="6" t="s">
        <v>267</v>
      </c>
      <c r="C61" s="6" t="s">
        <v>268</v>
      </c>
      <c r="D61" s="43" t="s">
        <v>269</v>
      </c>
    </row>
    <row r="62" ht="14.25" customHeight="1">
      <c r="A62" s="6" t="s">
        <v>270</v>
      </c>
      <c r="B62" s="6" t="s">
        <v>271</v>
      </c>
      <c r="C62" s="6" t="s">
        <v>272</v>
      </c>
      <c r="D62" s="43" t="s">
        <v>273</v>
      </c>
      <c r="E62" s="44" t="s">
        <v>274</v>
      </c>
    </row>
    <row r="63" ht="14.25" customHeight="1">
      <c r="A63" s="6" t="s">
        <v>275</v>
      </c>
      <c r="B63" s="6" t="s">
        <v>276</v>
      </c>
      <c r="C63" s="6" t="s">
        <v>277</v>
      </c>
      <c r="D63" s="43" t="s">
        <v>278</v>
      </c>
    </row>
    <row r="64" ht="14.25" customHeight="1">
      <c r="A64" s="6" t="s">
        <v>279</v>
      </c>
      <c r="B64" s="6" t="s">
        <v>280</v>
      </c>
      <c r="C64" s="6" t="s">
        <v>281</v>
      </c>
      <c r="D64" s="45" t="s">
        <v>282</v>
      </c>
    </row>
    <row r="65" ht="14.25" customHeight="1"/>
    <row r="66" ht="14.25" customHeight="1"/>
    <row r="67" ht="14.25" customHeight="1">
      <c r="A67" s="46" t="s">
        <v>283</v>
      </c>
    </row>
    <row r="68" ht="14.25" customHeight="1">
      <c r="A68" s="47"/>
    </row>
    <row r="69" ht="14.25" customHeight="1">
      <c r="A69" s="48" t="s">
        <v>140</v>
      </c>
      <c r="B69" s="40" t="s">
        <v>284</v>
      </c>
      <c r="C69" s="40" t="s">
        <v>285</v>
      </c>
      <c r="D69" s="49" t="s">
        <v>286</v>
      </c>
      <c r="E69" s="50" t="s">
        <v>287</v>
      </c>
    </row>
    <row r="70" ht="14.25" customHeight="1">
      <c r="A70" s="51" t="s">
        <v>288</v>
      </c>
      <c r="B70" s="32" t="s">
        <v>289</v>
      </c>
      <c r="C70" s="32" t="s">
        <v>290</v>
      </c>
      <c r="D70" s="32" t="s">
        <v>291</v>
      </c>
      <c r="E70" s="52" t="s">
        <v>292</v>
      </c>
    </row>
    <row r="71" ht="14.25" customHeight="1">
      <c r="A71" s="6" t="s">
        <v>293</v>
      </c>
      <c r="B71" s="32" t="s">
        <v>294</v>
      </c>
      <c r="C71" s="32" t="s">
        <v>295</v>
      </c>
      <c r="D71" s="32" t="s">
        <v>296</v>
      </c>
      <c r="E71" s="53" t="s">
        <v>297</v>
      </c>
    </row>
    <row r="72" ht="14.25" customHeight="1">
      <c r="A72" s="6" t="s">
        <v>298</v>
      </c>
      <c r="B72" s="54" t="s">
        <v>299</v>
      </c>
      <c r="C72" s="32" t="s">
        <v>300</v>
      </c>
      <c r="D72" s="32" t="s">
        <v>301</v>
      </c>
      <c r="E72" s="53" t="s">
        <v>302</v>
      </c>
    </row>
    <row r="73" ht="42.75" customHeight="1">
      <c r="A73" s="6" t="s">
        <v>303</v>
      </c>
      <c r="B73" s="32" t="s">
        <v>304</v>
      </c>
      <c r="C73" s="54" t="s">
        <v>305</v>
      </c>
      <c r="D73" s="32" t="s">
        <v>306</v>
      </c>
      <c r="E73" s="53" t="s">
        <v>307</v>
      </c>
    </row>
    <row r="74" ht="42.75" customHeight="1">
      <c r="A74" s="6" t="s">
        <v>308</v>
      </c>
      <c r="B74" s="32" t="s">
        <v>309</v>
      </c>
      <c r="C74" s="32" t="s">
        <v>310</v>
      </c>
      <c r="D74" s="32" t="s">
        <v>311</v>
      </c>
      <c r="E74" s="55" t="s">
        <v>312</v>
      </c>
    </row>
    <row r="75" ht="14.25" customHeight="1"/>
    <row r="76" ht="14.25" customHeight="1">
      <c r="E76" s="56"/>
    </row>
    <row r="77" ht="14.25" customHeight="1"/>
    <row r="78" ht="14.25" customHeight="1">
      <c r="E78" s="56"/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2.63" defaultRowHeight="15.0"/>
  <cols>
    <col customWidth="1" min="1" max="1" width="47.75"/>
    <col customWidth="1" min="2" max="2" width="96.75"/>
    <col customWidth="1" min="3" max="3" width="68.88"/>
    <col customWidth="1" min="4" max="4" width="83.88"/>
    <col customWidth="1" min="5" max="26" width="8.63"/>
  </cols>
  <sheetData>
    <row r="1" ht="14.25" customHeight="1"/>
    <row r="2" ht="14.25" customHeight="1">
      <c r="A2" s="13" t="s">
        <v>313</v>
      </c>
    </row>
    <row r="3" ht="14.25" customHeight="1"/>
    <row r="4" ht="21.0" customHeight="1">
      <c r="A4" s="57" t="s">
        <v>314</v>
      </c>
      <c r="B4" s="57" t="s">
        <v>315</v>
      </c>
    </row>
    <row r="5" ht="14.25" customHeight="1">
      <c r="A5" s="58" t="s">
        <v>316</v>
      </c>
      <c r="B5" s="30"/>
    </row>
    <row r="6" ht="14.25" customHeight="1">
      <c r="A6" s="6" t="s">
        <v>317</v>
      </c>
      <c r="B6" s="6" t="s">
        <v>318</v>
      </c>
    </row>
    <row r="7" ht="14.25" customHeight="1">
      <c r="A7" s="6" t="s">
        <v>319</v>
      </c>
      <c r="B7" s="6" t="s">
        <v>320</v>
      </c>
    </row>
    <row r="8" ht="14.25" customHeight="1">
      <c r="A8" s="6" t="s">
        <v>321</v>
      </c>
      <c r="B8" s="6" t="s">
        <v>322</v>
      </c>
    </row>
    <row r="9" ht="14.25" customHeight="1">
      <c r="A9" s="6" t="s">
        <v>323</v>
      </c>
      <c r="B9" s="6" t="s">
        <v>324</v>
      </c>
    </row>
    <row r="10" ht="14.25" customHeight="1">
      <c r="A10" s="22" t="s">
        <v>325</v>
      </c>
      <c r="B10" s="6" t="s">
        <v>326</v>
      </c>
    </row>
    <row r="11" ht="14.25" customHeight="1">
      <c r="A11" s="59" t="s">
        <v>327</v>
      </c>
      <c r="B11" s="30"/>
    </row>
    <row r="12" ht="14.25" customHeight="1">
      <c r="A12" s="6" t="s">
        <v>328</v>
      </c>
      <c r="B12" s="6" t="s">
        <v>329</v>
      </c>
    </row>
    <row r="13" ht="14.25" customHeight="1">
      <c r="A13" s="6" t="s">
        <v>330</v>
      </c>
      <c r="B13" s="6" t="s">
        <v>331</v>
      </c>
    </row>
    <row r="14" ht="14.25" customHeight="1">
      <c r="A14" s="6" t="s">
        <v>332</v>
      </c>
      <c r="B14" s="6" t="s">
        <v>333</v>
      </c>
    </row>
    <row r="15" ht="14.25" customHeight="1">
      <c r="A15" s="6" t="s">
        <v>334</v>
      </c>
      <c r="B15" s="6" t="s">
        <v>335</v>
      </c>
    </row>
    <row r="16" ht="14.25" customHeight="1">
      <c r="A16" s="58" t="s">
        <v>336</v>
      </c>
      <c r="B16" s="30"/>
    </row>
    <row r="17" ht="14.25" customHeight="1">
      <c r="A17" s="6" t="s">
        <v>337</v>
      </c>
    </row>
    <row r="18" ht="14.25" customHeight="1">
      <c r="A18" s="6" t="s">
        <v>338</v>
      </c>
    </row>
    <row r="19" ht="14.25" customHeight="1">
      <c r="A19" s="6" t="s">
        <v>339</v>
      </c>
    </row>
    <row r="20" ht="14.25" customHeight="1">
      <c r="A20" s="6" t="s">
        <v>340</v>
      </c>
    </row>
    <row r="21" ht="14.25" customHeight="1">
      <c r="A21" s="6" t="s">
        <v>341</v>
      </c>
    </row>
    <row r="22" ht="14.25" customHeight="1">
      <c r="A22" s="6" t="s">
        <v>342</v>
      </c>
    </row>
    <row r="23" ht="14.25" customHeight="1">
      <c r="A23" s="6" t="s">
        <v>343</v>
      </c>
    </row>
    <row r="24" ht="15.0" customHeight="1">
      <c r="A24" s="58" t="s">
        <v>344</v>
      </c>
      <c r="B24" s="30"/>
    </row>
    <row r="25" ht="14.25" customHeight="1">
      <c r="A25" s="6" t="s">
        <v>345</v>
      </c>
      <c r="B25" s="6" t="s">
        <v>346</v>
      </c>
    </row>
    <row r="26" ht="14.25" customHeight="1">
      <c r="A26" s="6" t="s">
        <v>347</v>
      </c>
    </row>
    <row r="27" ht="14.25" customHeight="1">
      <c r="A27" s="6" t="s">
        <v>348</v>
      </c>
    </row>
    <row r="28" ht="14.25" customHeight="1">
      <c r="A28" s="6" t="s">
        <v>349</v>
      </c>
    </row>
    <row r="29" ht="14.25" customHeight="1">
      <c r="A29" s="6" t="s">
        <v>350</v>
      </c>
    </row>
    <row r="30" ht="14.25" customHeight="1">
      <c r="A30" s="6" t="s">
        <v>351</v>
      </c>
    </row>
    <row r="31" ht="14.25" customHeight="1"/>
    <row r="32" ht="14.25" customHeight="1">
      <c r="A32" s="13" t="s">
        <v>352</v>
      </c>
    </row>
    <row r="33" ht="14.25" customHeight="1"/>
    <row r="34" ht="14.25" customHeight="1">
      <c r="A34" s="60" t="s">
        <v>140</v>
      </c>
      <c r="B34" s="60" t="s">
        <v>353</v>
      </c>
      <c r="C34" s="60" t="s">
        <v>354</v>
      </c>
      <c r="D34" s="60" t="s">
        <v>355</v>
      </c>
    </row>
    <row r="35" ht="14.25" customHeight="1">
      <c r="A35" s="6" t="s">
        <v>356</v>
      </c>
      <c r="B35" s="6" t="s">
        <v>357</v>
      </c>
      <c r="C35" s="6" t="s">
        <v>358</v>
      </c>
      <c r="D35" s="6" t="s">
        <v>359</v>
      </c>
    </row>
    <row r="36" ht="14.25" customHeight="1">
      <c r="A36" s="6" t="s">
        <v>360</v>
      </c>
      <c r="B36" s="6" t="s">
        <v>361</v>
      </c>
      <c r="C36" s="6" t="s">
        <v>362</v>
      </c>
      <c r="D36" s="6" t="s">
        <v>363</v>
      </c>
    </row>
    <row r="37" ht="14.25" customHeight="1">
      <c r="A37" s="6" t="s">
        <v>364</v>
      </c>
      <c r="B37" s="6" t="s">
        <v>365</v>
      </c>
      <c r="C37" s="6" t="s">
        <v>366</v>
      </c>
      <c r="D37" s="6" t="s">
        <v>367</v>
      </c>
    </row>
    <row r="38" ht="14.25" customHeight="1">
      <c r="A38" s="6" t="s">
        <v>368</v>
      </c>
      <c r="B38" s="6" t="s">
        <v>369</v>
      </c>
      <c r="C38" s="6" t="s">
        <v>370</v>
      </c>
      <c r="D38" s="6" t="s">
        <v>371</v>
      </c>
    </row>
    <row r="39" ht="14.25" customHeight="1">
      <c r="A39" s="6" t="s">
        <v>372</v>
      </c>
      <c r="B39" s="6" t="s">
        <v>373</v>
      </c>
      <c r="C39" s="6" t="s">
        <v>374</v>
      </c>
      <c r="D39" s="6" t="s">
        <v>375</v>
      </c>
    </row>
    <row r="40" ht="14.25" customHeight="1">
      <c r="A40" s="6" t="s">
        <v>376</v>
      </c>
      <c r="B40" s="6" t="s">
        <v>377</v>
      </c>
      <c r="C40" s="6" t="s">
        <v>378</v>
      </c>
      <c r="D40" s="6" t="s">
        <v>379</v>
      </c>
    </row>
    <row r="41" ht="14.25" customHeight="1">
      <c r="A41" s="6" t="s">
        <v>380</v>
      </c>
      <c r="B41" s="6" t="s">
        <v>381</v>
      </c>
      <c r="C41" s="6" t="s">
        <v>382</v>
      </c>
      <c r="D41" s="6" t="s">
        <v>383</v>
      </c>
    </row>
    <row r="42" ht="14.25" customHeight="1">
      <c r="A42" s="6" t="s">
        <v>384</v>
      </c>
      <c r="B42" s="6" t="s">
        <v>385</v>
      </c>
      <c r="C42" s="6" t="s">
        <v>386</v>
      </c>
      <c r="D42" s="6" t="s">
        <v>387</v>
      </c>
    </row>
    <row r="43" ht="14.25" customHeight="1">
      <c r="A43" s="6" t="s">
        <v>388</v>
      </c>
      <c r="B43" s="6" t="s">
        <v>389</v>
      </c>
      <c r="C43" s="6" t="s">
        <v>390</v>
      </c>
      <c r="D43" s="6" t="s">
        <v>391</v>
      </c>
    </row>
    <row r="44" ht="14.25" customHeight="1"/>
    <row r="45" ht="14.25" customHeight="1">
      <c r="A45" s="1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5:B5"/>
    <mergeCell ref="A11:B11"/>
    <mergeCell ref="A16:B16"/>
    <mergeCell ref="A24:B2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27.5"/>
    <col customWidth="1" min="3" max="3" width="58.88"/>
    <col customWidth="1" min="4" max="4" width="43.5"/>
    <col customWidth="1" min="5" max="5" width="68.5"/>
    <col customWidth="1" min="6" max="6" width="88.38"/>
    <col customWidth="1" min="7" max="26" width="8.63"/>
  </cols>
  <sheetData>
    <row r="1" ht="14.25" customHeight="1"/>
    <row r="2" ht="30.0" customHeight="1">
      <c r="A2" s="61" t="s">
        <v>392</v>
      </c>
      <c r="B2" s="61" t="s">
        <v>393</v>
      </c>
      <c r="C2" s="61" t="s">
        <v>12</v>
      </c>
      <c r="D2" s="61" t="s">
        <v>394</v>
      </c>
      <c r="E2" s="61" t="s">
        <v>395</v>
      </c>
      <c r="F2" s="61" t="s">
        <v>396</v>
      </c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4.25" customHeight="1">
      <c r="A3" s="6" t="s">
        <v>397</v>
      </c>
      <c r="B3" s="6" t="s">
        <v>398</v>
      </c>
      <c r="C3" s="6" t="s">
        <v>399</v>
      </c>
      <c r="D3" s="6" t="s">
        <v>400</v>
      </c>
      <c r="E3" s="6" t="s">
        <v>401</v>
      </c>
      <c r="F3" s="6" t="s">
        <v>402</v>
      </c>
    </row>
    <row r="4" ht="14.25" customHeight="1">
      <c r="A4" s="6" t="s">
        <v>403</v>
      </c>
      <c r="B4" s="6" t="s">
        <v>404</v>
      </c>
      <c r="C4" s="6" t="s">
        <v>405</v>
      </c>
      <c r="D4" s="6" t="s">
        <v>406</v>
      </c>
      <c r="E4" s="6" t="s">
        <v>407</v>
      </c>
      <c r="F4" s="6" t="s">
        <v>408</v>
      </c>
    </row>
    <row r="5" ht="14.25" customHeight="1">
      <c r="A5" s="6" t="s">
        <v>409</v>
      </c>
      <c r="B5" s="6" t="s">
        <v>410</v>
      </c>
      <c r="C5" s="6" t="s">
        <v>411</v>
      </c>
      <c r="D5" s="6" t="s">
        <v>412</v>
      </c>
      <c r="E5" s="6" t="s">
        <v>413</v>
      </c>
      <c r="F5" s="6" t="s">
        <v>414</v>
      </c>
    </row>
    <row r="6" ht="14.25" customHeight="1">
      <c r="A6" s="6" t="s">
        <v>415</v>
      </c>
      <c r="B6" s="6" t="s">
        <v>410</v>
      </c>
      <c r="C6" s="6" t="s">
        <v>416</v>
      </c>
      <c r="D6" s="6" t="s">
        <v>417</v>
      </c>
      <c r="E6" s="6" t="s">
        <v>418</v>
      </c>
      <c r="F6" s="6" t="s">
        <v>419</v>
      </c>
    </row>
    <row r="7" ht="14.25" customHeight="1"/>
    <row r="8" ht="14.25" customHeight="1"/>
    <row r="9" ht="14.25" customHeight="1"/>
    <row r="10" ht="38.25" customHeight="1">
      <c r="A10" s="62" t="s">
        <v>420</v>
      </c>
      <c r="B10" s="63" t="s">
        <v>421</v>
      </c>
      <c r="C10" s="64" t="s">
        <v>422</v>
      </c>
      <c r="H10" s="65">
        <v>3.0</v>
      </c>
      <c r="J10" s="65">
        <v>2.0</v>
      </c>
      <c r="L10" s="65">
        <v>1.0</v>
      </c>
    </row>
    <row r="11" ht="14.25" customHeight="1">
      <c r="A11" s="66" t="s">
        <v>423</v>
      </c>
      <c r="B11" s="67" t="s">
        <v>424</v>
      </c>
      <c r="C11" s="67" t="s">
        <v>425</v>
      </c>
      <c r="H11" s="68">
        <v>4.0</v>
      </c>
      <c r="I11" s="69">
        <f>1-23%</f>
        <v>0.77</v>
      </c>
      <c r="J11" s="68">
        <f>H11*I11</f>
        <v>3.08</v>
      </c>
      <c r="K11" s="69">
        <f>1-23%</f>
        <v>0.77</v>
      </c>
      <c r="L11" s="68">
        <f>J11*K11</f>
        <v>2.3716</v>
      </c>
    </row>
    <row r="12" ht="14.25" customHeight="1">
      <c r="A12" s="66" t="s">
        <v>426</v>
      </c>
      <c r="B12" s="67" t="s">
        <v>427</v>
      </c>
      <c r="C12" s="67" t="s">
        <v>428</v>
      </c>
    </row>
    <row r="13" ht="14.25" customHeight="1">
      <c r="A13" s="66" t="s">
        <v>429</v>
      </c>
      <c r="B13" s="67" t="s">
        <v>427</v>
      </c>
      <c r="C13" s="67" t="s">
        <v>430</v>
      </c>
    </row>
    <row r="14" ht="14.25" customHeight="1">
      <c r="A14" s="66" t="s">
        <v>431</v>
      </c>
      <c r="B14" s="67" t="s">
        <v>432</v>
      </c>
      <c r="C14" s="67" t="s">
        <v>433</v>
      </c>
    </row>
    <row r="15" ht="14.25" customHeight="1">
      <c r="A15" s="66" t="s">
        <v>434</v>
      </c>
      <c r="B15" s="67" t="s">
        <v>427</v>
      </c>
      <c r="C15" s="67" t="s">
        <v>435</v>
      </c>
    </row>
    <row r="16" ht="14.25" customHeight="1">
      <c r="A16" s="66" t="s">
        <v>436</v>
      </c>
      <c r="B16" s="67" t="s">
        <v>427</v>
      </c>
      <c r="C16" s="67" t="s">
        <v>437</v>
      </c>
    </row>
    <row r="17" ht="14.25" customHeight="1"/>
    <row r="18" ht="14.25" customHeight="1"/>
    <row r="19" ht="14.25" customHeight="1">
      <c r="A19" s="70" t="s">
        <v>438</v>
      </c>
    </row>
    <row r="20" ht="14.25" customHeight="1"/>
    <row r="21" ht="14.25" customHeight="1">
      <c r="A21" s="71" t="s">
        <v>439</v>
      </c>
      <c r="C21" s="71" t="s">
        <v>440</v>
      </c>
      <c r="D21" s="71" t="s">
        <v>441</v>
      </c>
      <c r="E21" s="71" t="s">
        <v>442</v>
      </c>
    </row>
    <row r="22" ht="14.25" customHeight="1">
      <c r="A22" s="67" t="s">
        <v>443</v>
      </c>
      <c r="C22" s="67" t="s">
        <v>444</v>
      </c>
      <c r="D22" s="72" t="s">
        <v>445</v>
      </c>
      <c r="E22" s="67" t="s">
        <v>446</v>
      </c>
    </row>
    <row r="23" ht="14.25" customHeight="1">
      <c r="A23" s="67" t="s">
        <v>447</v>
      </c>
      <c r="C23" s="67" t="s">
        <v>448</v>
      </c>
      <c r="D23" s="67" t="s">
        <v>449</v>
      </c>
      <c r="E23" s="67" t="s">
        <v>450</v>
      </c>
    </row>
    <row r="24" ht="14.25" customHeight="1">
      <c r="A24" s="67" t="s">
        <v>431</v>
      </c>
      <c r="C24" s="67" t="s">
        <v>451</v>
      </c>
      <c r="D24" s="67" t="s">
        <v>452</v>
      </c>
      <c r="E24" s="67" t="s">
        <v>453</v>
      </c>
    </row>
    <row r="25" ht="14.25" customHeight="1">
      <c r="A25" s="67" t="s">
        <v>454</v>
      </c>
      <c r="C25" s="67" t="s">
        <v>455</v>
      </c>
      <c r="D25" s="67" t="s">
        <v>456</v>
      </c>
      <c r="E25" s="67" t="s">
        <v>457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5"/>
    <col customWidth="1" min="3" max="3" width="9.25"/>
    <col customWidth="1" min="4" max="4" width="8.63"/>
    <col customWidth="1" min="5" max="5" width="12.25"/>
    <col customWidth="1" min="6" max="6" width="8.63"/>
    <col customWidth="1" min="7" max="7" width="13.63"/>
    <col customWidth="1" min="8" max="9" width="8.63"/>
    <col customWidth="1" min="10" max="10" width="12.75"/>
    <col customWidth="1" min="11" max="26" width="8.63"/>
  </cols>
  <sheetData>
    <row r="1" ht="14.25" customHeight="1"/>
    <row r="2" ht="14.25" customHeight="1">
      <c r="B2" s="6" t="s">
        <v>458</v>
      </c>
      <c r="G2" s="6" t="s">
        <v>459</v>
      </c>
    </row>
    <row r="3" ht="14.25" customHeight="1">
      <c r="B3" s="73"/>
      <c r="C3" s="74" t="s">
        <v>460</v>
      </c>
      <c r="D3" s="74" t="s">
        <v>461</v>
      </c>
      <c r="E3" s="74" t="s">
        <v>462</v>
      </c>
      <c r="G3" s="73"/>
      <c r="H3" s="74" t="s">
        <v>460</v>
      </c>
      <c r="I3" s="74" t="s">
        <v>461</v>
      </c>
      <c r="J3" s="74" t="s">
        <v>462</v>
      </c>
    </row>
    <row r="4" ht="14.25" customHeight="1">
      <c r="B4" s="75" t="s">
        <v>463</v>
      </c>
      <c r="C4" s="76">
        <v>900.0</v>
      </c>
      <c r="D4" s="6">
        <v>10.0</v>
      </c>
      <c r="E4" s="77">
        <f t="shared" ref="E4:E8" si="1">C4*D4</f>
        <v>9000</v>
      </c>
      <c r="G4" s="75" t="s">
        <v>463</v>
      </c>
      <c r="H4" s="76">
        <v>1200.0</v>
      </c>
      <c r="I4" s="6">
        <v>10.0</v>
      </c>
      <c r="J4" s="77">
        <f t="shared" ref="J4:J8" si="2">H4*I4</f>
        <v>12000</v>
      </c>
    </row>
    <row r="5" ht="14.25" customHeight="1">
      <c r="B5" s="78" t="s">
        <v>464</v>
      </c>
      <c r="C5" s="76">
        <v>1900.0</v>
      </c>
      <c r="D5" s="6">
        <v>10.0</v>
      </c>
      <c r="E5" s="79">
        <f t="shared" si="1"/>
        <v>19000</v>
      </c>
      <c r="G5" s="78" t="s">
        <v>464</v>
      </c>
      <c r="H5" s="76">
        <v>1900.0</v>
      </c>
      <c r="I5" s="6">
        <v>10.0</v>
      </c>
      <c r="J5" s="79">
        <f t="shared" si="2"/>
        <v>19000</v>
      </c>
    </row>
    <row r="6" ht="14.25" customHeight="1">
      <c r="B6" s="78" t="s">
        <v>465</v>
      </c>
      <c r="C6" s="76">
        <v>350.0</v>
      </c>
      <c r="D6" s="6">
        <v>10.0</v>
      </c>
      <c r="E6" s="79">
        <f t="shared" si="1"/>
        <v>3500</v>
      </c>
      <c r="G6" s="78" t="s">
        <v>465</v>
      </c>
      <c r="H6" s="76">
        <v>350.0</v>
      </c>
      <c r="I6" s="6">
        <v>10.0</v>
      </c>
      <c r="J6" s="79">
        <f t="shared" si="2"/>
        <v>3500</v>
      </c>
    </row>
    <row r="7" ht="14.25" customHeight="1">
      <c r="B7" s="78" t="s">
        <v>466</v>
      </c>
      <c r="C7" s="76">
        <v>200.0</v>
      </c>
      <c r="D7" s="6">
        <v>10.0</v>
      </c>
      <c r="E7" s="79">
        <f t="shared" si="1"/>
        <v>2000</v>
      </c>
      <c r="G7" s="78" t="s">
        <v>466</v>
      </c>
      <c r="H7" s="76">
        <v>0.0</v>
      </c>
      <c r="I7" s="6">
        <v>10.0</v>
      </c>
      <c r="J7" s="79">
        <f t="shared" si="2"/>
        <v>0</v>
      </c>
    </row>
    <row r="8" ht="14.25" customHeight="1">
      <c r="B8" s="75" t="s">
        <v>467</v>
      </c>
      <c r="C8" s="76">
        <v>1000.0</v>
      </c>
      <c r="D8" s="6">
        <v>10.0</v>
      </c>
      <c r="E8" s="77">
        <f t="shared" si="1"/>
        <v>10000</v>
      </c>
      <c r="G8" s="75" t="s">
        <v>467</v>
      </c>
      <c r="H8" s="76">
        <v>0.0</v>
      </c>
      <c r="I8" s="6">
        <v>10.0</v>
      </c>
      <c r="J8" s="77">
        <f t="shared" si="2"/>
        <v>0</v>
      </c>
    </row>
    <row r="9" ht="14.25" customHeight="1">
      <c r="B9" s="80" t="s">
        <v>462</v>
      </c>
      <c r="C9" s="81">
        <f>SUM(C4:C8)</f>
        <v>4350</v>
      </c>
      <c r="E9" s="82">
        <f>SUM(E4:E8)</f>
        <v>43500</v>
      </c>
      <c r="G9" s="80" t="s">
        <v>462</v>
      </c>
      <c r="H9" s="81">
        <f>SUM(H4:H8)</f>
        <v>3450</v>
      </c>
      <c r="J9" s="82">
        <f>SUM(J4:J8)</f>
        <v>34500</v>
      </c>
    </row>
    <row r="10" ht="14.25" customHeight="1">
      <c r="B10" s="80"/>
      <c r="E10" s="83"/>
      <c r="G10" s="80"/>
      <c r="J10" s="83"/>
    </row>
    <row r="11" ht="14.25" customHeight="1">
      <c r="B11" s="84"/>
      <c r="E11" s="85"/>
      <c r="G11" s="84"/>
      <c r="J11" s="85"/>
    </row>
    <row r="12" ht="14.25" customHeight="1">
      <c r="B12" s="86"/>
      <c r="E12" s="87"/>
      <c r="G12" s="86"/>
      <c r="J12" s="87"/>
    </row>
    <row r="13" ht="14.25" customHeight="1">
      <c r="B13" s="88" t="s">
        <v>468</v>
      </c>
      <c r="E13" s="87"/>
      <c r="G13" s="88" t="s">
        <v>468</v>
      </c>
      <c r="J13" s="87"/>
    </row>
    <row r="14" ht="14.25" customHeight="1">
      <c r="B14" s="86" t="s">
        <v>469</v>
      </c>
      <c r="E14" s="89">
        <v>3000.0</v>
      </c>
      <c r="G14" s="86" t="s">
        <v>469</v>
      </c>
      <c r="J14" s="89">
        <v>3000.0</v>
      </c>
    </row>
    <row r="15" ht="14.25" customHeight="1">
      <c r="B15" s="86" t="s">
        <v>470</v>
      </c>
      <c r="E15" s="89">
        <f t="shared" ref="E15:E16" si="3">E4*0.5</f>
        <v>4500</v>
      </c>
      <c r="G15" s="86" t="s">
        <v>470</v>
      </c>
      <c r="J15" s="89">
        <f t="shared" ref="J15:J16" si="4">J4*0.5</f>
        <v>6000</v>
      </c>
    </row>
    <row r="16" ht="14.25" customHeight="1">
      <c r="B16" s="86" t="s">
        <v>471</v>
      </c>
      <c r="E16" s="89">
        <f t="shared" si="3"/>
        <v>9500</v>
      </c>
      <c r="G16" s="86" t="s">
        <v>471</v>
      </c>
      <c r="J16" s="89">
        <f t="shared" si="4"/>
        <v>9500</v>
      </c>
    </row>
    <row r="17" ht="14.25" customHeight="1">
      <c r="B17" s="86"/>
      <c r="E17" s="90">
        <f>SUM(E14:E16)</f>
        <v>17000</v>
      </c>
      <c r="G17" s="86"/>
      <c r="J17" s="90">
        <f>SUM(J14:J16)</f>
        <v>18500</v>
      </c>
    </row>
    <row r="18" ht="14.25" customHeight="1">
      <c r="B18" s="86" t="s">
        <v>472</v>
      </c>
      <c r="E18" s="89">
        <v>27000.0</v>
      </c>
      <c r="G18" s="86" t="s">
        <v>472</v>
      </c>
      <c r="J18" s="89">
        <v>27000.0</v>
      </c>
    </row>
    <row r="19" ht="14.25" customHeight="1">
      <c r="B19" s="91" t="s">
        <v>473</v>
      </c>
      <c r="C19" s="92"/>
      <c r="D19" s="92"/>
      <c r="E19" s="93">
        <f>E18-E17</f>
        <v>10000</v>
      </c>
      <c r="G19" s="91" t="s">
        <v>473</v>
      </c>
      <c r="H19" s="92"/>
      <c r="I19" s="92"/>
      <c r="J19" s="93">
        <f>J18-J17</f>
        <v>8500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2025-07-24T17:43:45Z</dcterms:created>
  <dc:creator>Innocent Ithindi | PKF-FCS</dc:creator>
</cp:coreProperties>
</file>